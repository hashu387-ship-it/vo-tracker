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8.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https://icad0-my.sharepoint.com/personal/mroomy_firstfix-ksa_com/Documents/HW2 2.0/VO LOG/New/"/>
    </mc:Choice>
  </mc:AlternateContent>
  <xr:revisionPtr revIDLastSave="2903" documentId="11_575C887870F2CB14DFAC62816E1F47A343533366" xr6:coauthVersionLast="47" xr6:coauthVersionMax="47" xr10:uidLastSave="{542F9DEC-EAE4-C947-ABEC-F34A24D16BAA}"/>
  <bookViews>
    <workbookView xWindow="0" yWindow="780" windowWidth="34200" windowHeight="21460" tabRatio="640" firstSheet="1" activeTab="3" xr2:uid="{00000000-000D-0000-FFFF-FFFF00000000}"/>
  </bookViews>
  <sheets>
    <sheet name="Dashboard" sheetId="1" state="hidden" r:id="rId1"/>
    <sheet name="Payment Summary" sheetId="2" state="hidden" r:id="rId2"/>
    <sheet name="Payment Register" sheetId="3" r:id="rId3"/>
    <sheet name="VO LOG (2)" sheetId="9" r:id="rId4"/>
    <sheet name="Sheet1" sheetId="10" r:id="rId5"/>
    <sheet name="Sheet2" sheetId="4" state="hidden" r:id="rId6"/>
    <sheet name="VO LOG (New)" sheetId="5" state="hidden" r:id="rId7"/>
  </sheets>
  <definedNames>
    <definedName name="_" localSheetId="2" hidden="1">#REF!</definedName>
    <definedName name="_" hidden="1">#REF!</definedName>
    <definedName name="__" localSheetId="2" hidden="1">#REF!</definedName>
    <definedName name="__" hidden="1">#REF!</definedName>
    <definedName name="___" localSheetId="2" hidden="1">#REF!</definedName>
    <definedName name="___" hidden="1">#REF!</definedName>
    <definedName name="____" localSheetId="2" hidden="1">#REF!</definedName>
    <definedName name="____" hidden="1">#REF!</definedName>
    <definedName name="_____" localSheetId="2" hidden="1">#REF!</definedName>
    <definedName name="_____" hidden="1">#REF!</definedName>
    <definedName name="______" localSheetId="2" hidden="1">#REF!</definedName>
    <definedName name="______" hidden="1">#REF!</definedName>
    <definedName name="_______" localSheetId="2" hidden="1">#REF!</definedName>
    <definedName name="_______" hidden="1">#REF!</definedName>
    <definedName name="________" localSheetId="2" hidden="1">#REF!</definedName>
    <definedName name="________" hidden="1">#REF!</definedName>
    <definedName name="_________" localSheetId="2" hidden="1">#REF!</definedName>
    <definedName name="_________" hidden="1">#REF!</definedName>
    <definedName name="__________" localSheetId="2" hidden="1">#REF!</definedName>
    <definedName name="__________" hidden="1">#REF!</definedName>
    <definedName name="__________________________________ccr1" localSheetId="2" hidden="1">{#N/A,#N/A,TRUE,"Cover";#N/A,#N/A,TRUE,"Conts";#N/A,#N/A,TRUE,"VOS";#N/A,#N/A,TRUE,"Warrington";#N/A,#N/A,TRUE,"Widnes"}</definedName>
    <definedName name="__________________________________ccr1" hidden="1">{#N/A,#N/A,TRUE,"Cover";#N/A,#N/A,TRUE,"Conts";#N/A,#N/A,TRUE,"VOS";#N/A,#N/A,TRUE,"Warrington";#N/A,#N/A,TRUE,"Widnes"}</definedName>
    <definedName name="______________________________ccr1" localSheetId="2" hidden="1">{#N/A,#N/A,TRUE,"Cover";#N/A,#N/A,TRUE,"Conts";#N/A,#N/A,TRUE,"VOS";#N/A,#N/A,TRUE,"Warrington";#N/A,#N/A,TRUE,"Widnes"}</definedName>
    <definedName name="______________________________ccr1" hidden="1">{#N/A,#N/A,TRUE,"Cover";#N/A,#N/A,TRUE,"Conts";#N/A,#N/A,TRUE,"VOS";#N/A,#N/A,TRUE,"Warrington";#N/A,#N/A,TRUE,"Widnes"}</definedName>
    <definedName name="________________________ccr1" localSheetId="2" hidden="1">{#N/A,#N/A,TRUE,"Cover";#N/A,#N/A,TRUE,"Conts";#N/A,#N/A,TRUE,"VOS";#N/A,#N/A,TRUE,"Warrington";#N/A,#N/A,TRUE,"Widnes"}</definedName>
    <definedName name="________________________ccr1" hidden="1">{#N/A,#N/A,TRUE,"Cover";#N/A,#N/A,TRUE,"Conts";#N/A,#N/A,TRUE,"VOS";#N/A,#N/A,TRUE,"Warrington";#N/A,#N/A,TRUE,"Widnes"}</definedName>
    <definedName name="____________________new8" localSheetId="2" hidden="1">#REF!</definedName>
    <definedName name="____________________new8" hidden="1">#REF!</definedName>
    <definedName name="___________________ccr1" localSheetId="2" hidden="1">{#N/A,#N/A,TRUE,"Cover";#N/A,#N/A,TRUE,"Conts";#N/A,#N/A,TRUE,"VOS";#N/A,#N/A,TRUE,"Warrington";#N/A,#N/A,TRUE,"Widnes"}</definedName>
    <definedName name="___________________ccr1" hidden="1">{#N/A,#N/A,TRUE,"Cover";#N/A,#N/A,TRUE,"Conts";#N/A,#N/A,TRUE,"VOS";#N/A,#N/A,TRUE,"Warrington";#N/A,#N/A,TRUE,"Widnes"}</definedName>
    <definedName name="___________________new8" localSheetId="2" hidden="1">#REF!</definedName>
    <definedName name="___________________new8" hidden="1">#REF!</definedName>
    <definedName name="__________________ccr1" localSheetId="2" hidden="1">{#N/A,#N/A,TRUE,"Cover";#N/A,#N/A,TRUE,"Conts";#N/A,#N/A,TRUE,"VOS";#N/A,#N/A,TRUE,"Warrington";#N/A,#N/A,TRUE,"Widnes"}</definedName>
    <definedName name="__________________ccr1" hidden="1">{#N/A,#N/A,TRUE,"Cover";#N/A,#N/A,TRUE,"Conts";#N/A,#N/A,TRUE,"VOS";#N/A,#N/A,TRUE,"Warrington";#N/A,#N/A,TRUE,"Widnes"}</definedName>
    <definedName name="__________________new8" localSheetId="2" hidden="1">#REF!</definedName>
    <definedName name="__________________new8" hidden="1">#REF!</definedName>
    <definedName name="_________________new8" localSheetId="2" hidden="1">#REF!</definedName>
    <definedName name="_________________new8" hidden="1">#REF!</definedName>
    <definedName name="________________ccr1" localSheetId="2" hidden="1">{#N/A,#N/A,TRUE,"Cover";#N/A,#N/A,TRUE,"Conts";#N/A,#N/A,TRUE,"VOS";#N/A,#N/A,TRUE,"Warrington";#N/A,#N/A,TRUE,"Widnes"}</definedName>
    <definedName name="________________ccr1" hidden="1">{#N/A,#N/A,TRUE,"Cover";#N/A,#N/A,TRUE,"Conts";#N/A,#N/A,TRUE,"VOS";#N/A,#N/A,TRUE,"Warrington";#N/A,#N/A,TRUE,"Widnes"}</definedName>
    <definedName name="_______________ccr1" localSheetId="2" hidden="1">{#N/A,#N/A,TRUE,"Cover";#N/A,#N/A,TRUE,"Conts";#N/A,#N/A,TRUE,"VOS";#N/A,#N/A,TRUE,"Warrington";#N/A,#N/A,TRUE,"Widnes"}</definedName>
    <definedName name="_______________ccr1" hidden="1">{#N/A,#N/A,TRUE,"Cover";#N/A,#N/A,TRUE,"Conts";#N/A,#N/A,TRUE,"VOS";#N/A,#N/A,TRUE,"Warrington";#N/A,#N/A,TRUE,"Widnes"}</definedName>
    <definedName name="_______________new8" localSheetId="2" hidden="1">#REF!</definedName>
    <definedName name="_______________new8" hidden="1">#REF!</definedName>
    <definedName name="______________ccr1" localSheetId="2" hidden="1">{#N/A,#N/A,TRUE,"Cover";#N/A,#N/A,TRUE,"Conts";#N/A,#N/A,TRUE,"VOS";#N/A,#N/A,TRUE,"Warrington";#N/A,#N/A,TRUE,"Widnes"}</definedName>
    <definedName name="______________ccr1" hidden="1">{#N/A,#N/A,TRUE,"Cover";#N/A,#N/A,TRUE,"Conts";#N/A,#N/A,TRUE,"VOS";#N/A,#N/A,TRUE,"Warrington";#N/A,#N/A,TRUE,"Widnes"}</definedName>
    <definedName name="______________new8" localSheetId="2" hidden="1">#REF!</definedName>
    <definedName name="______________new8" hidden="1">#REF!</definedName>
    <definedName name="_____________ccr1" localSheetId="2" hidden="1">{#N/A,#N/A,TRUE,"Cover";#N/A,#N/A,TRUE,"Conts";#N/A,#N/A,TRUE,"VOS";#N/A,#N/A,TRUE,"Warrington";#N/A,#N/A,TRUE,"Widnes"}</definedName>
    <definedName name="_____________ccr1" hidden="1">{#N/A,#N/A,TRUE,"Cover";#N/A,#N/A,TRUE,"Conts";#N/A,#N/A,TRUE,"VOS";#N/A,#N/A,TRUE,"Warrington";#N/A,#N/A,TRUE,"Widnes"}</definedName>
    <definedName name="_____________new8" localSheetId="2" hidden="1">#REF!</definedName>
    <definedName name="_____________new8" hidden="1">#REF!</definedName>
    <definedName name="____________ngk1109" localSheetId="2" hidden="1">{#N/A,#N/A,FALSE,"估價單  (3)"}</definedName>
    <definedName name="____________ngk1109" hidden="1">{#N/A,#N/A,FALSE,"估價單  (3)"}</definedName>
    <definedName name="___________new8" localSheetId="2" hidden="1">#REF!</definedName>
    <definedName name="___________new8" hidden="1">#REF!</definedName>
    <definedName name="___________ngk1109" localSheetId="2" hidden="1">{#N/A,#N/A,FALSE,"估價單  (3)"}</definedName>
    <definedName name="___________ngk1109" hidden="1">{#N/A,#N/A,FALSE,"估價單  (3)"}</definedName>
    <definedName name="__________new8" localSheetId="2" hidden="1">#REF!</definedName>
    <definedName name="__________new8" hidden="1">#REF!</definedName>
    <definedName name="__________ngk1109" localSheetId="2" hidden="1">{#N/A,#N/A,FALSE,"估價單  (3)"}</definedName>
    <definedName name="__________ngk1109" hidden="1">{#N/A,#N/A,FALSE,"估價單  (3)"}</definedName>
    <definedName name="__________rev5" localSheetId="2" hidden="1">{#N/A,#N/A,FALSE,"CCTV"}</definedName>
    <definedName name="__________rev5" hidden="1">{#N/A,#N/A,FALSE,"CCTV"}</definedName>
    <definedName name="_________ab1" localSheetId="2" hidden="1">{#N/A,#N/A,FALSE,"SumD";#N/A,#N/A,FALSE,"ElecD";#N/A,#N/A,FALSE,"MechD";#N/A,#N/A,FALSE,"GeotD";#N/A,#N/A,FALSE,"PrcsD";#N/A,#N/A,FALSE,"TunnD";#N/A,#N/A,FALSE,"CivlD";#N/A,#N/A,FALSE,"NtwkD";#N/A,#N/A,FALSE,"EstgD";#N/A,#N/A,FALSE,"PEngD"}</definedName>
    <definedName name="_________ab1" hidden="1">{#N/A,#N/A,FALSE,"SumD";#N/A,#N/A,FALSE,"ElecD";#N/A,#N/A,FALSE,"MechD";#N/A,#N/A,FALSE,"GeotD";#N/A,#N/A,FALSE,"PrcsD";#N/A,#N/A,FALSE,"TunnD";#N/A,#N/A,FALSE,"CivlD";#N/A,#N/A,FALSE,"NtwkD";#N/A,#N/A,FALSE,"EstgD";#N/A,#N/A,FALSE,"PEngD"}</definedName>
    <definedName name="_________as1" localSheetId="2" hidden="1">{#N/A,#N/A,FALSE,"SumD";#N/A,#N/A,FALSE,"ElecD";#N/A,#N/A,FALSE,"MechD";#N/A,#N/A,FALSE,"GeotD";#N/A,#N/A,FALSE,"PrcsD";#N/A,#N/A,FALSE,"TunnD";#N/A,#N/A,FALSE,"CivlD";#N/A,#N/A,FALSE,"NtwkD";#N/A,#N/A,FALSE,"EstgD";#N/A,#N/A,FALSE,"PEngD"}</definedName>
    <definedName name="_________as1" hidden="1">{#N/A,#N/A,FALSE,"SumD";#N/A,#N/A,FALSE,"ElecD";#N/A,#N/A,FALSE,"MechD";#N/A,#N/A,FALSE,"GeotD";#N/A,#N/A,FALSE,"PrcsD";#N/A,#N/A,FALSE,"TunnD";#N/A,#N/A,FALSE,"CivlD";#N/A,#N/A,FALSE,"NtwkD";#N/A,#N/A,FALSE,"EstgD";#N/A,#N/A,FALSE,"PEngD"}</definedName>
    <definedName name="_________ccr1" localSheetId="2" hidden="1">{#N/A,#N/A,TRUE,"Cover";#N/A,#N/A,TRUE,"Conts";#N/A,#N/A,TRUE,"VOS";#N/A,#N/A,TRUE,"Warrington";#N/A,#N/A,TRUE,"Widnes"}</definedName>
    <definedName name="_________ccr1" hidden="1">{#N/A,#N/A,TRUE,"Cover";#N/A,#N/A,TRUE,"Conts";#N/A,#N/A,TRUE,"VOS";#N/A,#N/A,TRUE,"Warrington";#N/A,#N/A,TRUE,"Widnes"}</definedName>
    <definedName name="_________ngk1109" localSheetId="2" hidden="1">{#N/A,#N/A,FALSE,"估價單  (3)"}</definedName>
    <definedName name="_________ngk1109" hidden="1">{#N/A,#N/A,FALSE,"估價單  (3)"}</definedName>
    <definedName name="_________old3" localSheetId="2" hidden="1">{#N/A,#N/A,FALSE,"Summary";#N/A,#N/A,FALSE,"3TJ";#N/A,#N/A,FALSE,"3TN";#N/A,#N/A,FALSE,"3TP";#N/A,#N/A,FALSE,"3SJ";#N/A,#N/A,FALSE,"3CJ";#N/A,#N/A,FALSE,"3CN";#N/A,#N/A,FALSE,"3CP";#N/A,#N/A,FALSE,"3A"}</definedName>
    <definedName name="_________old3" hidden="1">{#N/A,#N/A,FALSE,"Summary";#N/A,#N/A,FALSE,"3TJ";#N/A,#N/A,FALSE,"3TN";#N/A,#N/A,FALSE,"3TP";#N/A,#N/A,FALSE,"3SJ";#N/A,#N/A,FALSE,"3CJ";#N/A,#N/A,FALSE,"3CN";#N/A,#N/A,FALSE,"3CP";#N/A,#N/A,FALSE,"3A"}</definedName>
    <definedName name="_________old5" localSheetId="2" hidden="1">{#N/A,#N/A,FALSE,"Summary";#N/A,#N/A,FALSE,"3TJ";#N/A,#N/A,FALSE,"3TN";#N/A,#N/A,FALSE,"3TP";#N/A,#N/A,FALSE,"3SJ";#N/A,#N/A,FALSE,"3CJ";#N/A,#N/A,FALSE,"3CN";#N/A,#N/A,FALSE,"3CP";#N/A,#N/A,FALSE,"3A"}</definedName>
    <definedName name="_________old5" hidden="1">{#N/A,#N/A,FALSE,"Summary";#N/A,#N/A,FALSE,"3TJ";#N/A,#N/A,FALSE,"3TN";#N/A,#N/A,FALSE,"3TP";#N/A,#N/A,FALSE,"3SJ";#N/A,#N/A,FALSE,"3CJ";#N/A,#N/A,FALSE,"3CN";#N/A,#N/A,FALSE,"3CP";#N/A,#N/A,FALSE,"3A"}</definedName>
    <definedName name="_________old7" localSheetId="2" hidden="1">{#N/A,#N/A,FALSE,"Summary";#N/A,#N/A,FALSE,"3TJ";#N/A,#N/A,FALSE,"3TN";#N/A,#N/A,FALSE,"3TP";#N/A,#N/A,FALSE,"3SJ";#N/A,#N/A,FALSE,"3CJ";#N/A,#N/A,FALSE,"3CN";#N/A,#N/A,FALSE,"3CP";#N/A,#N/A,FALSE,"3A"}</definedName>
    <definedName name="_________old7" hidden="1">{#N/A,#N/A,FALSE,"Summary";#N/A,#N/A,FALSE,"3TJ";#N/A,#N/A,FALSE,"3TN";#N/A,#N/A,FALSE,"3TP";#N/A,#N/A,FALSE,"3SJ";#N/A,#N/A,FALSE,"3CJ";#N/A,#N/A,FALSE,"3CN";#N/A,#N/A,FALSE,"3CP";#N/A,#N/A,FALSE,"3A"}</definedName>
    <definedName name="________ab1" localSheetId="2" hidden="1">{#N/A,#N/A,FALSE,"SumD";#N/A,#N/A,FALSE,"ElecD";#N/A,#N/A,FALSE,"MechD";#N/A,#N/A,FALSE,"GeotD";#N/A,#N/A,FALSE,"PrcsD";#N/A,#N/A,FALSE,"TunnD";#N/A,#N/A,FALSE,"CivlD";#N/A,#N/A,FALSE,"NtwkD";#N/A,#N/A,FALSE,"EstgD";#N/A,#N/A,FALSE,"PEngD"}</definedName>
    <definedName name="________ab1" hidden="1">{#N/A,#N/A,FALSE,"SumD";#N/A,#N/A,FALSE,"ElecD";#N/A,#N/A,FALSE,"MechD";#N/A,#N/A,FALSE,"GeotD";#N/A,#N/A,FALSE,"PrcsD";#N/A,#N/A,FALSE,"TunnD";#N/A,#N/A,FALSE,"CivlD";#N/A,#N/A,FALSE,"NtwkD";#N/A,#N/A,FALSE,"EstgD";#N/A,#N/A,FALSE,"PEngD"}</definedName>
    <definedName name="________as1" localSheetId="2" hidden="1">{#N/A,#N/A,FALSE,"SumD";#N/A,#N/A,FALSE,"ElecD";#N/A,#N/A,FALSE,"MechD";#N/A,#N/A,FALSE,"GeotD";#N/A,#N/A,FALSE,"PrcsD";#N/A,#N/A,FALSE,"TunnD";#N/A,#N/A,FALSE,"CivlD";#N/A,#N/A,FALSE,"NtwkD";#N/A,#N/A,FALSE,"EstgD";#N/A,#N/A,FALSE,"PEngD"}</definedName>
    <definedName name="________as1" hidden="1">{#N/A,#N/A,FALSE,"SumD";#N/A,#N/A,FALSE,"ElecD";#N/A,#N/A,FALSE,"MechD";#N/A,#N/A,FALSE,"GeotD";#N/A,#N/A,FALSE,"PrcsD";#N/A,#N/A,FALSE,"TunnD";#N/A,#N/A,FALSE,"CivlD";#N/A,#N/A,FALSE,"NtwkD";#N/A,#N/A,FALSE,"EstgD";#N/A,#N/A,FALSE,"PEngD"}</definedName>
    <definedName name="________ccr1" localSheetId="2" hidden="1">{#N/A,#N/A,TRUE,"Cover";#N/A,#N/A,TRUE,"Conts";#N/A,#N/A,TRUE,"VOS";#N/A,#N/A,TRUE,"Warrington";#N/A,#N/A,TRUE,"Widnes"}</definedName>
    <definedName name="________ccr1" hidden="1">{#N/A,#N/A,TRUE,"Cover";#N/A,#N/A,TRUE,"Conts";#N/A,#N/A,TRUE,"VOS";#N/A,#N/A,TRUE,"Warrington";#N/A,#N/A,TRUE,"Widnes"}</definedName>
    <definedName name="________new8" localSheetId="2" hidden="1">#REF!</definedName>
    <definedName name="________new8" hidden="1">#REF!</definedName>
    <definedName name="________ngk1109" localSheetId="2" hidden="1">{#N/A,#N/A,FALSE,"估價單  (3)"}</definedName>
    <definedName name="________ngk1109" hidden="1">{#N/A,#N/A,FALSE,"估價單  (3)"}</definedName>
    <definedName name="________old3" localSheetId="2" hidden="1">{#N/A,#N/A,FALSE,"Summary";#N/A,#N/A,FALSE,"3TJ";#N/A,#N/A,FALSE,"3TN";#N/A,#N/A,FALSE,"3TP";#N/A,#N/A,FALSE,"3SJ";#N/A,#N/A,FALSE,"3CJ";#N/A,#N/A,FALSE,"3CN";#N/A,#N/A,FALSE,"3CP";#N/A,#N/A,FALSE,"3A"}</definedName>
    <definedName name="________old3" hidden="1">{#N/A,#N/A,FALSE,"Summary";#N/A,#N/A,FALSE,"3TJ";#N/A,#N/A,FALSE,"3TN";#N/A,#N/A,FALSE,"3TP";#N/A,#N/A,FALSE,"3SJ";#N/A,#N/A,FALSE,"3CJ";#N/A,#N/A,FALSE,"3CN";#N/A,#N/A,FALSE,"3CP";#N/A,#N/A,FALSE,"3A"}</definedName>
    <definedName name="________old5" localSheetId="2" hidden="1">{#N/A,#N/A,FALSE,"Summary";#N/A,#N/A,FALSE,"3TJ";#N/A,#N/A,FALSE,"3TN";#N/A,#N/A,FALSE,"3TP";#N/A,#N/A,FALSE,"3SJ";#N/A,#N/A,FALSE,"3CJ";#N/A,#N/A,FALSE,"3CN";#N/A,#N/A,FALSE,"3CP";#N/A,#N/A,FALSE,"3A"}</definedName>
    <definedName name="________old5" hidden="1">{#N/A,#N/A,FALSE,"Summary";#N/A,#N/A,FALSE,"3TJ";#N/A,#N/A,FALSE,"3TN";#N/A,#N/A,FALSE,"3TP";#N/A,#N/A,FALSE,"3SJ";#N/A,#N/A,FALSE,"3CJ";#N/A,#N/A,FALSE,"3CN";#N/A,#N/A,FALSE,"3CP";#N/A,#N/A,FALSE,"3A"}</definedName>
    <definedName name="________old7" localSheetId="2" hidden="1">{#N/A,#N/A,FALSE,"Summary";#N/A,#N/A,FALSE,"3TJ";#N/A,#N/A,FALSE,"3TN";#N/A,#N/A,FALSE,"3TP";#N/A,#N/A,FALSE,"3SJ";#N/A,#N/A,FALSE,"3CJ";#N/A,#N/A,FALSE,"3CN";#N/A,#N/A,FALSE,"3CP";#N/A,#N/A,FALSE,"3A"}</definedName>
    <definedName name="________old7" hidden="1">{#N/A,#N/A,FALSE,"Summary";#N/A,#N/A,FALSE,"3TJ";#N/A,#N/A,FALSE,"3TN";#N/A,#N/A,FALSE,"3TP";#N/A,#N/A,FALSE,"3SJ";#N/A,#N/A,FALSE,"3CJ";#N/A,#N/A,FALSE,"3CN";#N/A,#N/A,FALSE,"3CP";#N/A,#N/A,FALSE,"3A"}</definedName>
    <definedName name="_______ccr1" localSheetId="2" hidden="1">{#N/A,#N/A,TRUE,"Cover";#N/A,#N/A,TRUE,"Conts";#N/A,#N/A,TRUE,"VOS";#N/A,#N/A,TRUE,"Warrington";#N/A,#N/A,TRUE,"Widnes"}</definedName>
    <definedName name="_______ccr1" hidden="1">{#N/A,#N/A,TRUE,"Cover";#N/A,#N/A,TRUE,"Conts";#N/A,#N/A,TRUE,"VOS";#N/A,#N/A,TRUE,"Warrington";#N/A,#N/A,TRUE,"Widnes"}</definedName>
    <definedName name="_______dec05" localSheetId="2" hidden="1">{"'Sheet1'!$A$4386:$N$4591"}</definedName>
    <definedName name="_______dec05" hidden="1">{"'Sheet1'!$A$4386:$N$4591"}</definedName>
    <definedName name="_______new8" localSheetId="2" hidden="1">#REF!</definedName>
    <definedName name="_______new8" hidden="1">#REF!</definedName>
    <definedName name="_______ngk1109" localSheetId="2" hidden="1">{#N/A,#N/A,FALSE,"估價單  (3)"}</definedName>
    <definedName name="_______ngk1109" hidden="1">{#N/A,#N/A,FALSE,"估價單  (3)"}</definedName>
    <definedName name="______ab1" localSheetId="2" hidden="1">{#N/A,#N/A,FALSE,"SumD";#N/A,#N/A,FALSE,"ElecD";#N/A,#N/A,FALSE,"MechD";#N/A,#N/A,FALSE,"GeotD";#N/A,#N/A,FALSE,"PrcsD";#N/A,#N/A,FALSE,"TunnD";#N/A,#N/A,FALSE,"CivlD";#N/A,#N/A,FALSE,"NtwkD";#N/A,#N/A,FALSE,"EstgD";#N/A,#N/A,FALSE,"PEngD"}</definedName>
    <definedName name="______ab1" hidden="1">{#N/A,#N/A,FALSE,"SumD";#N/A,#N/A,FALSE,"ElecD";#N/A,#N/A,FALSE,"MechD";#N/A,#N/A,FALSE,"GeotD";#N/A,#N/A,FALSE,"PrcsD";#N/A,#N/A,FALSE,"TunnD";#N/A,#N/A,FALSE,"CivlD";#N/A,#N/A,FALSE,"NtwkD";#N/A,#N/A,FALSE,"EstgD";#N/A,#N/A,FALSE,"PEngD"}</definedName>
    <definedName name="______as1" localSheetId="2" hidden="1">{#N/A,#N/A,FALSE,"SumD";#N/A,#N/A,FALSE,"ElecD";#N/A,#N/A,FALSE,"MechD";#N/A,#N/A,FALSE,"GeotD";#N/A,#N/A,FALSE,"PrcsD";#N/A,#N/A,FALSE,"TunnD";#N/A,#N/A,FALSE,"CivlD";#N/A,#N/A,FALSE,"NtwkD";#N/A,#N/A,FALSE,"EstgD";#N/A,#N/A,FALSE,"PEngD"}</definedName>
    <definedName name="______as1" hidden="1">{#N/A,#N/A,FALSE,"SumD";#N/A,#N/A,FALSE,"ElecD";#N/A,#N/A,FALSE,"MechD";#N/A,#N/A,FALSE,"GeotD";#N/A,#N/A,FALSE,"PrcsD";#N/A,#N/A,FALSE,"TunnD";#N/A,#N/A,FALSE,"CivlD";#N/A,#N/A,FALSE,"NtwkD";#N/A,#N/A,FALSE,"EstgD";#N/A,#N/A,FALSE,"PEngD"}</definedName>
    <definedName name="______ccr1" localSheetId="2" hidden="1">{#N/A,#N/A,TRUE,"Cover";#N/A,#N/A,TRUE,"Conts";#N/A,#N/A,TRUE,"VOS";#N/A,#N/A,TRUE,"Warrington";#N/A,#N/A,TRUE,"Widnes"}</definedName>
    <definedName name="______ccr1" hidden="1">{#N/A,#N/A,TRUE,"Cover";#N/A,#N/A,TRUE,"Conts";#N/A,#N/A,TRUE,"VOS";#N/A,#N/A,TRUE,"Warrington";#N/A,#N/A,TRUE,"Widnes"}</definedName>
    <definedName name="______dec05" localSheetId="2" hidden="1">{"'Sheet1'!$A$4386:$N$4591"}</definedName>
    <definedName name="______dec05" hidden="1">{"'Sheet1'!$A$4386:$N$4591"}</definedName>
    <definedName name="______new8" localSheetId="2" hidden="1">#REF!</definedName>
    <definedName name="______new8" hidden="1">#REF!</definedName>
    <definedName name="______ngk1109" localSheetId="2" hidden="1">{#N/A,#N/A,FALSE,"估價單  (3)"}</definedName>
    <definedName name="______ngk1109" hidden="1">{#N/A,#N/A,FALSE,"估價單  (3)"}</definedName>
    <definedName name="______old3" localSheetId="2" hidden="1">{#N/A,#N/A,FALSE,"Summary";#N/A,#N/A,FALSE,"3TJ";#N/A,#N/A,FALSE,"3TN";#N/A,#N/A,FALSE,"3TP";#N/A,#N/A,FALSE,"3SJ";#N/A,#N/A,FALSE,"3CJ";#N/A,#N/A,FALSE,"3CN";#N/A,#N/A,FALSE,"3CP";#N/A,#N/A,FALSE,"3A"}</definedName>
    <definedName name="______old3" hidden="1">{#N/A,#N/A,FALSE,"Summary";#N/A,#N/A,FALSE,"3TJ";#N/A,#N/A,FALSE,"3TN";#N/A,#N/A,FALSE,"3TP";#N/A,#N/A,FALSE,"3SJ";#N/A,#N/A,FALSE,"3CJ";#N/A,#N/A,FALSE,"3CN";#N/A,#N/A,FALSE,"3CP";#N/A,#N/A,FALSE,"3A"}</definedName>
    <definedName name="______old5" localSheetId="2" hidden="1">{#N/A,#N/A,FALSE,"Summary";#N/A,#N/A,FALSE,"3TJ";#N/A,#N/A,FALSE,"3TN";#N/A,#N/A,FALSE,"3TP";#N/A,#N/A,FALSE,"3SJ";#N/A,#N/A,FALSE,"3CJ";#N/A,#N/A,FALSE,"3CN";#N/A,#N/A,FALSE,"3CP";#N/A,#N/A,FALSE,"3A"}</definedName>
    <definedName name="______old5" hidden="1">{#N/A,#N/A,FALSE,"Summary";#N/A,#N/A,FALSE,"3TJ";#N/A,#N/A,FALSE,"3TN";#N/A,#N/A,FALSE,"3TP";#N/A,#N/A,FALSE,"3SJ";#N/A,#N/A,FALSE,"3CJ";#N/A,#N/A,FALSE,"3CN";#N/A,#N/A,FALSE,"3CP";#N/A,#N/A,FALSE,"3A"}</definedName>
    <definedName name="______old7" localSheetId="2" hidden="1">{#N/A,#N/A,FALSE,"Summary";#N/A,#N/A,FALSE,"3TJ";#N/A,#N/A,FALSE,"3TN";#N/A,#N/A,FALSE,"3TP";#N/A,#N/A,FALSE,"3SJ";#N/A,#N/A,FALSE,"3CJ";#N/A,#N/A,FALSE,"3CN";#N/A,#N/A,FALSE,"3CP";#N/A,#N/A,FALSE,"3A"}</definedName>
    <definedName name="______old7" hidden="1">{#N/A,#N/A,FALSE,"Summary";#N/A,#N/A,FALSE,"3TJ";#N/A,#N/A,FALSE,"3TN";#N/A,#N/A,FALSE,"3TP";#N/A,#N/A,FALSE,"3SJ";#N/A,#N/A,FALSE,"3CJ";#N/A,#N/A,FALSE,"3CN";#N/A,#N/A,FALSE,"3CP";#N/A,#N/A,FALSE,"3A"}</definedName>
    <definedName name="_____ab1" localSheetId="2"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2"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2" hidden="1">{#N/A,#N/A,TRUE,"Cover";#N/A,#N/A,TRUE,"Conts";#N/A,#N/A,TRUE,"VOS";#N/A,#N/A,TRUE,"Warrington";#N/A,#N/A,TRUE,"Widnes"}</definedName>
    <definedName name="_____ccr1" hidden="1">{#N/A,#N/A,TRUE,"Cover";#N/A,#N/A,TRUE,"Conts";#N/A,#N/A,TRUE,"VOS";#N/A,#N/A,TRUE,"Warrington";#N/A,#N/A,TRUE,"Widnes"}</definedName>
    <definedName name="_____dec05" localSheetId="2" hidden="1">{"'Sheet1'!$A$4386:$N$4591"}</definedName>
    <definedName name="_____dec05" hidden="1">{"'Sheet1'!$A$4386:$N$4591"}</definedName>
    <definedName name="_____gk2" localSheetId="2" hidden="1">#REF!</definedName>
    <definedName name="_____gk2" hidden="1">#REF!</definedName>
    <definedName name="_____new8" localSheetId="2" hidden="1">#REF!</definedName>
    <definedName name="_____new8" hidden="1">#REF!</definedName>
    <definedName name="_____ngk1109" localSheetId="2" hidden="1">{#N/A,#N/A,FALSE,"估價單  (3)"}</definedName>
    <definedName name="_____ngk1109" hidden="1">{#N/A,#N/A,FALSE,"估價單  (3)"}</definedName>
    <definedName name="_____old3" localSheetId="2"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2"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2"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_rev5" localSheetId="2" hidden="1">{#N/A,#N/A,FALSE,"CCTV"}</definedName>
    <definedName name="_____rev5" hidden="1">{#N/A,#N/A,FALSE,"CCTV"}</definedName>
    <definedName name="____ab1" localSheetId="2"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2"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2" hidden="1">{#N/A,#N/A,TRUE,"Cover";#N/A,#N/A,TRUE,"Conts";#N/A,#N/A,TRUE,"VOS";#N/A,#N/A,TRUE,"Warrington";#N/A,#N/A,TRUE,"Widnes"}</definedName>
    <definedName name="____ccr1" hidden="1">{#N/A,#N/A,TRUE,"Cover";#N/A,#N/A,TRUE,"Conts";#N/A,#N/A,TRUE,"VOS";#N/A,#N/A,TRUE,"Warrington";#N/A,#N/A,TRUE,"Widnes"}</definedName>
    <definedName name="____dec05" localSheetId="2" hidden="1">{"'Sheet1'!$A$4386:$N$4591"}</definedName>
    <definedName name="____dec05" hidden="1">{"'Sheet1'!$A$4386:$N$4591"}</definedName>
    <definedName name="____gk2" localSheetId="2" hidden="1">#REF!</definedName>
    <definedName name="____gk2" hidden="1">#REF!</definedName>
    <definedName name="____new8" localSheetId="2" hidden="1">#REF!</definedName>
    <definedName name="____new8" hidden="1">#REF!</definedName>
    <definedName name="____ngk1109" localSheetId="2" hidden="1">{#N/A,#N/A,FALSE,"估價單  (3)"}</definedName>
    <definedName name="____ngk1109" hidden="1">{#N/A,#N/A,FALSE,"估價單  (3)"}</definedName>
    <definedName name="____old3" localSheetId="2"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2"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2"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_xlfn.BAHTTEXT" hidden="1">#NAME?</definedName>
    <definedName name="___ab1" localSheetId="2"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2"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at12" localSheetId="2" hidden="1">{#N/A,#N/A,TRUE,"Front";#N/A,#N/A,TRUE,"Simple Letter";#N/A,#N/A,TRUE,"Inside";#N/A,#N/A,TRUE,"Contents";#N/A,#N/A,TRUE,"Basis";#N/A,#N/A,TRUE,"Inclusions";#N/A,#N/A,TRUE,"Exclusions";#N/A,#N/A,TRUE,"Areas";#N/A,#N/A,TRUE,"Summary";#N/A,#N/A,TRUE,"Detail"}</definedName>
    <definedName name="___cat12" hidden="1">{#N/A,#N/A,TRUE,"Front";#N/A,#N/A,TRUE,"Simple Letter";#N/A,#N/A,TRUE,"Inside";#N/A,#N/A,TRUE,"Contents";#N/A,#N/A,TRUE,"Basis";#N/A,#N/A,TRUE,"Inclusions";#N/A,#N/A,TRUE,"Exclusions";#N/A,#N/A,TRUE,"Areas";#N/A,#N/A,TRUE,"Summary";#N/A,#N/A,TRUE,"Detail"}</definedName>
    <definedName name="___ccr1" localSheetId="2" hidden="1">{#N/A,#N/A,TRUE,"Cover";#N/A,#N/A,TRUE,"Conts";#N/A,#N/A,TRUE,"VOS";#N/A,#N/A,TRUE,"Warrington";#N/A,#N/A,TRUE,"Widnes"}</definedName>
    <definedName name="___ccr1" hidden="1">{#N/A,#N/A,TRUE,"Cover";#N/A,#N/A,TRUE,"Conts";#N/A,#N/A,TRUE,"VOS";#N/A,#N/A,TRUE,"Warrington";#N/A,#N/A,TRUE,"Widnes"}</definedName>
    <definedName name="___com2" localSheetId="2" hidden="1">{"'Break down'!$A$4"}</definedName>
    <definedName name="___com2" hidden="1">{"'Break down'!$A$4"}</definedName>
    <definedName name="___dec05" localSheetId="2" hidden="1">{"'Sheet1'!$A$4386:$N$4591"}</definedName>
    <definedName name="___dec05" hidden="1">{"'Sheet1'!$A$4386:$N$4591"}</definedName>
    <definedName name="___gk2" localSheetId="2" hidden="1">#REF!</definedName>
    <definedName name="___gk2" hidden="1">#REF!</definedName>
    <definedName name="___new8" localSheetId="2" hidden="1">#REF!</definedName>
    <definedName name="___new8" hidden="1">#REF!</definedName>
    <definedName name="___ngk1109" localSheetId="2" hidden="1">{#N/A,#N/A,FALSE,"估價單  (3)"}</definedName>
    <definedName name="___ngk1109" hidden="1">{#N/A,#N/A,FALSE,"估價單  (3)"}</definedName>
    <definedName name="___old3" localSheetId="2"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2"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2"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_rev5" localSheetId="2" hidden="1">{#N/A,#N/A,FALSE,"CCTV"}</definedName>
    <definedName name="___rev5" hidden="1">{#N/A,#N/A,FALSE,"CCTV"}</definedName>
    <definedName name="___xlfn.BAHTTEXT" hidden="1">#NAME?</definedName>
    <definedName name="___xlfn.SUMIFS" hidden="1">#NAME?</definedName>
    <definedName name="__123Graph_A" localSheetId="2" hidden="1">#REF!</definedName>
    <definedName name="__123Graph_A" hidden="1">#REF!</definedName>
    <definedName name="__123Graph_ACHART1" localSheetId="2" hidden="1">#REF!</definedName>
    <definedName name="__123Graph_ACHART1" hidden="1">#REF!</definedName>
    <definedName name="__123Graph_ACURRENT" localSheetId="2" hidden="1">#REF!</definedName>
    <definedName name="__123Graph_ACURRENT" hidden="1">#REF!</definedName>
    <definedName name="__123Graph_ACURVE" localSheetId="2" hidden="1">#REF!</definedName>
    <definedName name="__123Graph_ACURVE" hidden="1">#REF!</definedName>
    <definedName name="__123Graph_APAY" localSheetId="2" hidden="1">#REF!</definedName>
    <definedName name="__123Graph_APAY" hidden="1">#REF!</definedName>
    <definedName name="__123Graph_B" localSheetId="2" hidden="1">#REF!</definedName>
    <definedName name="__123Graph_B" hidden="1">#REF!</definedName>
    <definedName name="__123Graph_BCURRENT" localSheetId="2" hidden="1">#REF!</definedName>
    <definedName name="__123Graph_BCURRENT" hidden="1">#REF!</definedName>
    <definedName name="__123Graph_BPERFORMANCE" localSheetId="2" hidden="1">#REF!</definedName>
    <definedName name="__123Graph_BPERFORMANCE" hidden="1">#REF!</definedName>
    <definedName name="__123Graph_C" localSheetId="2" hidden="1">#REF!</definedName>
    <definedName name="__123Graph_C" hidden="1">#REF!</definedName>
    <definedName name="__123Graph_CCURRENT" localSheetId="2" hidden="1">#REF!</definedName>
    <definedName name="__123Graph_CCURRENT" hidden="1">#REF!</definedName>
    <definedName name="__123Graph_D" localSheetId="2" hidden="1">#REF!</definedName>
    <definedName name="__123Graph_D" hidden="1">#REF!</definedName>
    <definedName name="__123Graph_DCURRENT" localSheetId="2" hidden="1">#REF!</definedName>
    <definedName name="__123Graph_DCURRENT" hidden="1">#REF!</definedName>
    <definedName name="__123Graph_E" localSheetId="2" hidden="1">#REF!</definedName>
    <definedName name="__123Graph_E" hidden="1">#REF!</definedName>
    <definedName name="__123Graph_ECURRENT" localSheetId="2" hidden="1">#REF!</definedName>
    <definedName name="__123Graph_ECURRENT" hidden="1">#REF!</definedName>
    <definedName name="__123Graph_F" localSheetId="2" hidden="1">#REF!</definedName>
    <definedName name="__123Graph_F" hidden="1">#REF!</definedName>
    <definedName name="__123Graph_FCURRENT" localSheetId="2" hidden="1">#REF!</definedName>
    <definedName name="__123Graph_FCURRENT" hidden="1">#REF!</definedName>
    <definedName name="__123Graph_X" localSheetId="2" hidden="1">#REF!</definedName>
    <definedName name="__123Graph_X" hidden="1">#REF!</definedName>
    <definedName name="__123Graph_XCHART1" localSheetId="2" hidden="1">#REF!</definedName>
    <definedName name="__123Graph_XCHART1" hidden="1">#REF!</definedName>
    <definedName name="__123Graph_XCURRENT" localSheetId="2" hidden="1">#REF!</definedName>
    <definedName name="__123Graph_XCURRENT" hidden="1">#REF!</definedName>
    <definedName name="__123Graph_XCURVE" localSheetId="2" hidden="1">#REF!</definedName>
    <definedName name="__123Graph_XCURVE" hidden="1">#REF!</definedName>
    <definedName name="__123Graph_XPAY" localSheetId="2" hidden="1">#REF!</definedName>
    <definedName name="__123Graph_XPAY" hidden="1">#REF!</definedName>
    <definedName name="__124sr" localSheetId="2" hidden="1">#REF!</definedName>
    <definedName name="__124sr" hidden="1">#REF!</definedName>
    <definedName name="__1F" localSheetId="2" hidden="1">#REF!</definedName>
    <definedName name="__1F" hidden="1">#REF!</definedName>
    <definedName name="__2_0_0_F" localSheetId="2" hidden="1">#REF!</definedName>
    <definedName name="__2_0_0_F" hidden="1">#REF!</definedName>
    <definedName name="__7___123Graph_BCHART_2" localSheetId="2" hidden="1">#REF!</definedName>
    <definedName name="__7___123Graph_BCHART_2" hidden="1">#REF!</definedName>
    <definedName name="__8___123Graph_CCHART_1" localSheetId="2" hidden="1">#REF!</definedName>
    <definedName name="__8___123Graph_CCHART_1" hidden="1">#REF!</definedName>
    <definedName name="__9___123Graph_DCHART_1" localSheetId="2" hidden="1">#REF!</definedName>
    <definedName name="__9___123Graph_DCHART_1" hidden="1">#REF!</definedName>
    <definedName name="__ab1" localSheetId="2" hidden="1">{#N/A,#N/A,FALSE,"SumD";#N/A,#N/A,FALSE,"ElecD";#N/A,#N/A,FALSE,"MechD";#N/A,#N/A,FALSE,"GeotD";#N/A,#N/A,FALSE,"PrcsD";#N/A,#N/A,FALSE,"TunnD";#N/A,#N/A,FALSE,"CivlD";#N/A,#N/A,FALSE,"NtwkD";#N/A,#N/A,FALSE,"EstgD";#N/A,#N/A,FALSE,"PEngD"}</definedName>
    <definedName name="__ab1" hidden="1">{#N/A,#N/A,FALSE,"SumD";#N/A,#N/A,FALSE,"ElecD";#N/A,#N/A,FALSE,"MechD";#N/A,#N/A,FALSE,"GeotD";#N/A,#N/A,FALSE,"PrcsD";#N/A,#N/A,FALSE,"TunnD";#N/A,#N/A,FALSE,"CivlD";#N/A,#N/A,FALSE,"NtwkD";#N/A,#N/A,FALSE,"EstgD";#N/A,#N/A,FALSE,"PEngD"}</definedName>
    <definedName name="__act1" localSheetId="2" hidden="1">{#N/A,#N/A,FALSE,"WRSUMMARY";#N/A,#N/A,FALSE,"ANNEX-1";#N/A,#N/A,FALSE,"ANNEX-2";#N/A,#N/A,FALSE,"ANNEX-3";#N/A,#N/A,FALSE,"WORKING"}</definedName>
    <definedName name="__act1" hidden="1">{#N/A,#N/A,FALSE,"WRSUMMARY";#N/A,#N/A,FALSE,"ANNEX-1";#N/A,#N/A,FALSE,"ANNEX-2";#N/A,#N/A,FALSE,"ANNEX-3";#N/A,#N/A,FALSE,"WORKING"}</definedName>
    <definedName name="__as1" localSheetId="2" hidden="1">{#N/A,#N/A,FALSE,"SumD";#N/A,#N/A,FALSE,"ElecD";#N/A,#N/A,FALSE,"MechD";#N/A,#N/A,FALSE,"GeotD";#N/A,#N/A,FALSE,"PrcsD";#N/A,#N/A,FALSE,"TunnD";#N/A,#N/A,FALSE,"CivlD";#N/A,#N/A,FALSE,"NtwkD";#N/A,#N/A,FALSE,"EstgD";#N/A,#N/A,FALSE,"PEngD"}</definedName>
    <definedName name="__as1" hidden="1">{#N/A,#N/A,FALSE,"SumD";#N/A,#N/A,FALSE,"ElecD";#N/A,#N/A,FALSE,"MechD";#N/A,#N/A,FALSE,"GeotD";#N/A,#N/A,FALSE,"PrcsD";#N/A,#N/A,FALSE,"TunnD";#N/A,#N/A,FALSE,"CivlD";#N/A,#N/A,FALSE,"NtwkD";#N/A,#N/A,FALSE,"EstgD";#N/A,#N/A,FALSE,"PEngD"}</definedName>
    <definedName name="__cat12" localSheetId="2" hidden="1">{#N/A,#N/A,TRUE,"Front";#N/A,#N/A,TRUE,"Simple Letter";#N/A,#N/A,TRUE,"Inside";#N/A,#N/A,TRUE,"Contents";#N/A,#N/A,TRUE,"Basis";#N/A,#N/A,TRUE,"Inclusions";#N/A,#N/A,TRUE,"Exclusions";#N/A,#N/A,TRUE,"Areas";#N/A,#N/A,TRUE,"Summary";#N/A,#N/A,TRUE,"Detail"}</definedName>
    <definedName name="__cat12" hidden="1">{#N/A,#N/A,TRUE,"Front";#N/A,#N/A,TRUE,"Simple Letter";#N/A,#N/A,TRUE,"Inside";#N/A,#N/A,TRUE,"Contents";#N/A,#N/A,TRUE,"Basis";#N/A,#N/A,TRUE,"Inclusions";#N/A,#N/A,TRUE,"Exclusions";#N/A,#N/A,TRUE,"Areas";#N/A,#N/A,TRUE,"Summary";#N/A,#N/A,TRUE,"Detail"}</definedName>
    <definedName name="__ccr1" localSheetId="2" hidden="1">{#N/A,#N/A,TRUE,"Cover";#N/A,#N/A,TRUE,"Conts";#N/A,#N/A,TRUE,"VOS";#N/A,#N/A,TRUE,"Warrington";#N/A,#N/A,TRUE,"Widnes"}</definedName>
    <definedName name="__ccr1" hidden="1">{#N/A,#N/A,TRUE,"Cover";#N/A,#N/A,TRUE,"Conts";#N/A,#N/A,TRUE,"VOS";#N/A,#N/A,TRUE,"Warrington";#N/A,#N/A,TRUE,"Widnes"}</definedName>
    <definedName name="__com2" localSheetId="2" hidden="1">{"'Break down'!$A$4"}</definedName>
    <definedName name="__com2" hidden="1">{"'Break down'!$A$4"}</definedName>
    <definedName name="__dec05" localSheetId="2" hidden="1">{"'Sheet1'!$A$4386:$N$4591"}</definedName>
    <definedName name="__dec05" hidden="1">{"'Sheet1'!$A$4386:$N$4591"}</definedName>
    <definedName name="__gk2" localSheetId="2" hidden="1">#REF!</definedName>
    <definedName name="__gk2" hidden="1">#REF!</definedName>
    <definedName name="__hp10" localSheetId="2" hidden="1">{#N/A,#N/A,TRUE,"Front";#N/A,#N/A,TRUE,"Simple Letter";#N/A,#N/A,TRUE,"Inside";#N/A,#N/A,TRUE,"Contents";#N/A,#N/A,TRUE,"Basis";#N/A,#N/A,TRUE,"Inclusions";#N/A,#N/A,TRUE,"Exclusions";#N/A,#N/A,TRUE,"Areas";#N/A,#N/A,TRUE,"Summary";#N/A,#N/A,TRUE,"Detail"}</definedName>
    <definedName name="__hp10" hidden="1">{#N/A,#N/A,TRUE,"Front";#N/A,#N/A,TRUE,"Simple Letter";#N/A,#N/A,TRUE,"Inside";#N/A,#N/A,TRUE,"Contents";#N/A,#N/A,TRUE,"Basis";#N/A,#N/A,TRUE,"Inclusions";#N/A,#N/A,TRUE,"Exclusions";#N/A,#N/A,TRUE,"Areas";#N/A,#N/A,TRUE,"Summary";#N/A,#N/A,TRUE,"Detail"}</definedName>
    <definedName name="__IntlFixup" hidden="1">TRUE</definedName>
    <definedName name="__IntlFixupTable" localSheetId="2" hidden="1">#REF!</definedName>
    <definedName name="__IntlFixupTable" hidden="1">#REF!</definedName>
    <definedName name="__kp1" localSheetId="2" hidden="1">{#N/A,#N/A,TRUE,"Front";#N/A,#N/A,TRUE,"Simple Letter";#N/A,#N/A,TRUE,"Inside";#N/A,#N/A,TRUE,"Contents";#N/A,#N/A,TRUE,"Basis";#N/A,#N/A,TRUE,"Inclusions";#N/A,#N/A,TRUE,"Exclusions";#N/A,#N/A,TRUE,"Areas";#N/A,#N/A,TRUE,"Summary";#N/A,#N/A,TRUE,"Detail"}</definedName>
    <definedName name="__kp1" hidden="1">{#N/A,#N/A,TRUE,"Front";#N/A,#N/A,TRUE,"Simple Letter";#N/A,#N/A,TRUE,"Inside";#N/A,#N/A,TRUE,"Contents";#N/A,#N/A,TRUE,"Basis";#N/A,#N/A,TRUE,"Inclusions";#N/A,#N/A,TRUE,"Exclusions";#N/A,#N/A,TRUE,"Areas";#N/A,#N/A,TRUE,"Summary";#N/A,#N/A,TRUE,"Detail"}</definedName>
    <definedName name="__new8" localSheetId="2" hidden="1">#REF!</definedName>
    <definedName name="__new8" hidden="1">#REF!</definedName>
    <definedName name="__ngk1109" localSheetId="2" hidden="1">{#N/A,#N/A,FALSE,"估價單  (3)"}</definedName>
    <definedName name="__ngk1109" hidden="1">{#N/A,#N/A,FALSE,"估價單  (3)"}</definedName>
    <definedName name="__old3" localSheetId="2" hidden="1">{#N/A,#N/A,FALSE,"Summary";#N/A,#N/A,FALSE,"3TJ";#N/A,#N/A,FALSE,"3TN";#N/A,#N/A,FALSE,"3TP";#N/A,#N/A,FALSE,"3SJ";#N/A,#N/A,FALSE,"3CJ";#N/A,#N/A,FALSE,"3CN";#N/A,#N/A,FALSE,"3CP";#N/A,#N/A,FALSE,"3A"}</definedName>
    <definedName name="__old3" hidden="1">{#N/A,#N/A,FALSE,"Summary";#N/A,#N/A,FALSE,"3TJ";#N/A,#N/A,FALSE,"3TN";#N/A,#N/A,FALSE,"3TP";#N/A,#N/A,FALSE,"3SJ";#N/A,#N/A,FALSE,"3CJ";#N/A,#N/A,FALSE,"3CN";#N/A,#N/A,FALSE,"3CP";#N/A,#N/A,FALSE,"3A"}</definedName>
    <definedName name="__old5" localSheetId="2" hidden="1">{#N/A,#N/A,FALSE,"Summary";#N/A,#N/A,FALSE,"3TJ";#N/A,#N/A,FALSE,"3TN";#N/A,#N/A,FALSE,"3TP";#N/A,#N/A,FALSE,"3SJ";#N/A,#N/A,FALSE,"3CJ";#N/A,#N/A,FALSE,"3CN";#N/A,#N/A,FALSE,"3CP";#N/A,#N/A,FALSE,"3A"}</definedName>
    <definedName name="__old5" hidden="1">{#N/A,#N/A,FALSE,"Summary";#N/A,#N/A,FALSE,"3TJ";#N/A,#N/A,FALSE,"3TN";#N/A,#N/A,FALSE,"3TP";#N/A,#N/A,FALSE,"3SJ";#N/A,#N/A,FALSE,"3CJ";#N/A,#N/A,FALSE,"3CN";#N/A,#N/A,FALSE,"3CP";#N/A,#N/A,FALSE,"3A"}</definedName>
    <definedName name="__old7" localSheetId="2" hidden="1">{#N/A,#N/A,FALSE,"Summary";#N/A,#N/A,FALSE,"3TJ";#N/A,#N/A,FALSE,"3TN";#N/A,#N/A,FALSE,"3TP";#N/A,#N/A,FALSE,"3SJ";#N/A,#N/A,FALSE,"3CJ";#N/A,#N/A,FALSE,"3CN";#N/A,#N/A,FALSE,"3CP";#N/A,#N/A,FALSE,"3A"}</definedName>
    <definedName name="__old7" hidden="1">{#N/A,#N/A,FALSE,"Summary";#N/A,#N/A,FALSE,"3TJ";#N/A,#N/A,FALSE,"3TN";#N/A,#N/A,FALSE,"3TP";#N/A,#N/A,FALSE,"3SJ";#N/A,#N/A,FALSE,"3CJ";#N/A,#N/A,FALSE,"3CN";#N/A,#N/A,FALSE,"3CP";#N/A,#N/A,FALSE,"3A"}</definedName>
    <definedName name="__rev5" localSheetId="2" hidden="1">{#N/A,#N/A,FALSE,"CCTV"}</definedName>
    <definedName name="__rev5" hidden="1">{#N/A,#N/A,FALSE,"CCTV"}</definedName>
    <definedName name="__xlfn.BAHTTEXT" hidden="1">#NAME?</definedName>
    <definedName name="__xlfn.SUMIFS" hidden="1">#NAME?</definedName>
    <definedName name="_1___123Graph_ACHART_1" localSheetId="2" hidden="1">#REF!</definedName>
    <definedName name="_1___123Graph_ACHART_1" hidden="1">#REF!</definedName>
    <definedName name="_1__123Graph_ACHART_1" localSheetId="2" hidden="1">#REF!</definedName>
    <definedName name="_1__123Graph_ACHART_1" hidden="1">#REF!</definedName>
    <definedName name="_1__123Graph_ACHART_3" localSheetId="2" hidden="1">#REF!</definedName>
    <definedName name="_1__123Graph_ACHART_3" hidden="1">#REF!</definedName>
    <definedName name="_1_._solv" localSheetId="2" hidden="1">#REF!,#REF!</definedName>
    <definedName name="_1_._solv" hidden="1">#REF!,#REF!</definedName>
    <definedName name="_10__123Graph_ACHART_1" localSheetId="2" hidden="1">#REF!</definedName>
    <definedName name="_10__123Graph_ACHART_1" hidden="1">#REF!</definedName>
    <definedName name="_10__123Graph_CCHART_4" localSheetId="2" hidden="1">#REF!</definedName>
    <definedName name="_10__123Graph_CCHART_4" hidden="1">#REF!</definedName>
    <definedName name="_11__123Graph_BCHART_4" localSheetId="2" hidden="1">#REF!</definedName>
    <definedName name="_11__123Graph_BCHART_4" hidden="1">#REF!</definedName>
    <definedName name="_11__123Graph_DCHART_4" localSheetId="2" hidden="1">#REF!</definedName>
    <definedName name="_11__123Graph_DCHART_4" hidden="1">#REF!</definedName>
    <definedName name="_12__123Graph_AChart_1A" localSheetId="2" hidden="1">#REF!</definedName>
    <definedName name="_12__123Graph_AChart_1A" hidden="1">#REF!</definedName>
    <definedName name="_12__123Graph_BCHART_4" localSheetId="2" hidden="1">#REF!</definedName>
    <definedName name="_12__123Graph_BCHART_4" hidden="1">#REF!</definedName>
    <definedName name="_12__123Graph_XCHART_1" localSheetId="2" hidden="1">#REF!</definedName>
    <definedName name="_12__123Graph_XCHART_1" hidden="1">#REF!</definedName>
    <definedName name="_1234sheet" localSheetId="2" hidden="1">#REF!</definedName>
    <definedName name="_1234sheet" hidden="1">#REF!</definedName>
    <definedName name="_123Graph_ACURRENT" localSheetId="2" hidden="1">#REF!</definedName>
    <definedName name="_123Graph_ACURRENT" hidden="1">#REF!</definedName>
    <definedName name="_13__123Graph_ACHART_1A" localSheetId="2" hidden="1">#REF!</definedName>
    <definedName name="_13__123Graph_ACHART_1A" hidden="1">#REF!</definedName>
    <definedName name="_13__123Graph_ACHART_2" localSheetId="2" hidden="1">#REF!</definedName>
    <definedName name="_13__123Graph_ACHART_2" hidden="1">#REF!</definedName>
    <definedName name="_13__123Graph_XCHART_2" localSheetId="2" hidden="1">#REF!</definedName>
    <definedName name="_13__123Graph_XCHART_2" hidden="1">#REF!</definedName>
    <definedName name="_13__123Graph_XCHART_3" localSheetId="2" hidden="1">#REF!</definedName>
    <definedName name="_13__123Graph_XCHART_3" hidden="1">#REF!</definedName>
    <definedName name="_14__123Graph_XCHART_3" localSheetId="2" hidden="1">#REF!</definedName>
    <definedName name="_14__123Graph_XCHART_3" hidden="1">#REF!</definedName>
    <definedName name="_14__123Graph_XCHART_4" localSheetId="2" hidden="1">#REF!</definedName>
    <definedName name="_14__123Graph_XCHART_4" hidden="1">#REF!</definedName>
    <definedName name="_15__123Graph_BChart_1A" localSheetId="2" hidden="1">#REF!</definedName>
    <definedName name="_15__123Graph_BChart_1A" hidden="1">#REF!</definedName>
    <definedName name="_15__123Graph_XCHART_3" localSheetId="2" hidden="1">#REF!</definedName>
    <definedName name="_15__123Graph_XCHART_3" hidden="1">#REF!</definedName>
    <definedName name="_15__123Graph_XCHART_4" localSheetId="2" hidden="1">#REF!</definedName>
    <definedName name="_15__123Graph_XCHART_4" hidden="1">#REF!</definedName>
    <definedName name="_16__123Graph_BCHART_2" localSheetId="2" hidden="1">#REF!</definedName>
    <definedName name="_16__123Graph_BCHART_2" hidden="1">#REF!</definedName>
    <definedName name="_16__123Graph_XCHART_4" localSheetId="2" hidden="1">#REF!</definedName>
    <definedName name="_16__123Graph_XCHART_4" hidden="1">#REF!</definedName>
    <definedName name="_16F" localSheetId="2" hidden="1">#REF!</definedName>
    <definedName name="_16F" hidden="1">#REF!</definedName>
    <definedName name="_17__123Graph_CCHART_1" localSheetId="2" hidden="1">#REF!</definedName>
    <definedName name="_17__123Graph_CCHART_1" hidden="1">#REF!</definedName>
    <definedName name="_17_0_0_F" localSheetId="2" hidden="1">#REF!</definedName>
    <definedName name="_17_0_0_F" hidden="1">#REF!</definedName>
    <definedName name="_18__123Graph_DCHART_1" localSheetId="2" hidden="1">#REF!</definedName>
    <definedName name="_18__123Graph_DCHART_1" hidden="1">#REF!</definedName>
    <definedName name="_1F" localSheetId="2" hidden="1">#REF!</definedName>
    <definedName name="_1F" hidden="1">#REF!</definedName>
    <definedName name="_2____123Graph_AChart_1A" localSheetId="2" hidden="1">#REF!</definedName>
    <definedName name="_2____123Graph_AChart_1A" hidden="1">#REF!</definedName>
    <definedName name="_2__123Graph_ACHART_1A" localSheetId="2" hidden="1">#REF!</definedName>
    <definedName name="_2__123Graph_ACHART_1A" hidden="1">#REF!</definedName>
    <definedName name="_2__123Graph_ACHART_2" localSheetId="2" hidden="1">#REF!</definedName>
    <definedName name="_2__123Graph_ACHART_2" hidden="1">#REF!</definedName>
    <definedName name="_2__123Graph_ACHART_4" hidden="1">#REF!</definedName>
    <definedName name="_2_0_0_F" localSheetId="2" hidden="1">#REF!</definedName>
    <definedName name="_2_0_0_F" hidden="1">#REF!</definedName>
    <definedName name="_26__123Graph_XCHART_1A" hidden="1">#REF!</definedName>
    <definedName name="_3___123Graph_AChart_1A" localSheetId="2" hidden="1">#REF!</definedName>
    <definedName name="_3___123Graph_AChart_1A" hidden="1">#REF!</definedName>
    <definedName name="_3__123Graph_ACHART_10" localSheetId="2" hidden="1">#REF!</definedName>
    <definedName name="_3__123Graph_ACHART_10" hidden="1">#REF!</definedName>
    <definedName name="_3__123Graph_ACHART_3" hidden="1">#REF!</definedName>
    <definedName name="_3__123Graph_BChart_1A" hidden="1">#REF!</definedName>
    <definedName name="_3__123Graph_BCHART_2" localSheetId="2" hidden="1">#REF!</definedName>
    <definedName name="_3__123Graph_BCHART_2" hidden="1">#REF!</definedName>
    <definedName name="_3__123Graph_BCHART_3" hidden="1">#REF!</definedName>
    <definedName name="_4____123Graph_BChart_1A" localSheetId="2" hidden="1">#REF!</definedName>
    <definedName name="_4____123Graph_BChart_1A" hidden="1">#REF!</definedName>
    <definedName name="_4___123Graph_ACHART_2" localSheetId="2" hidden="1">#REF!</definedName>
    <definedName name="_4___123Graph_ACHART_2" hidden="1">#REF!</definedName>
    <definedName name="_4__123Graph_ACHART_3" localSheetId="2" hidden="1">#REF!</definedName>
    <definedName name="_4__123Graph_ACHART_3" hidden="1">#REF!</definedName>
    <definedName name="_4__123Graph_ACHART_4" localSheetId="2" hidden="1">#REF!</definedName>
    <definedName name="_4__123Graph_ACHART_4" hidden="1">#REF!</definedName>
    <definedName name="_4__123Graph_BCHART_10" localSheetId="2" hidden="1">#REF!</definedName>
    <definedName name="_4__123Graph_BCHART_10" hidden="1">#REF!</definedName>
    <definedName name="_4__123Graph_BCHART_4" localSheetId="2" hidden="1">#REF!</definedName>
    <definedName name="_4__123Graph_BCHART_4" hidden="1">#REF!</definedName>
    <definedName name="_4__123Graph_CCHART_1" localSheetId="2" hidden="1">#REF!</definedName>
    <definedName name="_4__123Graph_CCHART_1" hidden="1">#REF!</definedName>
    <definedName name="_4__123Graph_XCHART_1A" localSheetId="2" hidden="1">#REF!</definedName>
    <definedName name="_4__123Graph_XCHART_1A" hidden="1">#REF!</definedName>
    <definedName name="_4_0___.0solv" localSheetId="2" hidden="1">#REF!,#REF!</definedName>
    <definedName name="_4_0___.0solv" hidden="1">#REF!,#REF!</definedName>
    <definedName name="_5___123Graph_ACHART_1" localSheetId="2" hidden="1">#REF!</definedName>
    <definedName name="_5___123Graph_ACHART_1" hidden="1">#REF!</definedName>
    <definedName name="_5__123Graph_BCHART_1" localSheetId="2" hidden="1">#REF!</definedName>
    <definedName name="_5__123Graph_BCHART_1" hidden="1">#REF!</definedName>
    <definedName name="_5__123Graph_BCHART_9" localSheetId="2" hidden="1">#REF!</definedName>
    <definedName name="_5__123Graph_BCHART_9" hidden="1">#REF!</definedName>
    <definedName name="_5__123Graph_DCHART_1" localSheetId="2" hidden="1">#REF!</definedName>
    <definedName name="_5__123Graph_DCHART_1" hidden="1">#REF!</definedName>
    <definedName name="_5__123Graph_XCHART_3" localSheetId="2" hidden="1">#REF!</definedName>
    <definedName name="_5__123Graph_XCHART_3" hidden="1">#REF!</definedName>
    <definedName name="_6___123Graph_ACHART_2" localSheetId="2" hidden="1">#REF!</definedName>
    <definedName name="_6___123Graph_ACHART_2" hidden="1">#REF!</definedName>
    <definedName name="_6___123Graph_BChart_1A" localSheetId="2" hidden="1">#REF!</definedName>
    <definedName name="_6___123Graph_BChart_1A" hidden="1">#REF!</definedName>
    <definedName name="_6__123Graph_ACHART_4" localSheetId="2" hidden="1">#REF!</definedName>
    <definedName name="_6__123Graph_ACHART_4" hidden="1">#REF!</definedName>
    <definedName name="_6__123Graph_BCHART_2" localSheetId="2" hidden="1">#REF!</definedName>
    <definedName name="_6__123Graph_BCHART_2" hidden="1">#REF!</definedName>
    <definedName name="_6__123Graph_DCHART_10" localSheetId="2" hidden="1">#REF!</definedName>
    <definedName name="_6__123Graph_DCHART_10" hidden="1">#REF!</definedName>
    <definedName name="_6__123Graph_XCHART_4" localSheetId="2" hidden="1">#REF!</definedName>
    <definedName name="_6__123Graph_XCHART_4" hidden="1">#REF!</definedName>
    <definedName name="_7___123Graph_BCHART_2" localSheetId="2" hidden="1">#REF!</definedName>
    <definedName name="_7___123Graph_BCHART_2" hidden="1">#REF!</definedName>
    <definedName name="_7__123Graph_BCHART_3" localSheetId="2" hidden="1">#REF!</definedName>
    <definedName name="_7__123Graph_BCHART_3" hidden="1">#REF!</definedName>
    <definedName name="_7__123Graph_DCHART_9" localSheetId="2" hidden="1">#REF!</definedName>
    <definedName name="_7__123Graph_DCHART_9" hidden="1">#REF!</definedName>
    <definedName name="_8___123Graph_CCHART_1" localSheetId="2" hidden="1">#REF!</definedName>
    <definedName name="_8___123Graph_CCHART_1" hidden="1">#REF!</definedName>
    <definedName name="_8__123Graph_BCHART_4" localSheetId="2" hidden="1">#REF!</definedName>
    <definedName name="_8__123Graph_BCHART_4" hidden="1">#REF!</definedName>
    <definedName name="_8__123Graph_ECHART_9" localSheetId="2" hidden="1">#REF!</definedName>
    <definedName name="_8__123Graph_ECHART_9" hidden="1">#REF!</definedName>
    <definedName name="_9___123Graph_DCHART_1" localSheetId="2" hidden="1">#REF!</definedName>
    <definedName name="_9___123Graph_DCHART_1" hidden="1">#REF!</definedName>
    <definedName name="_9__123Graph_BCHART_3" localSheetId="2" hidden="1">#REF!</definedName>
    <definedName name="_9__123Graph_BCHART_3" hidden="1">#REF!</definedName>
    <definedName name="_9__123Graph_CCHART_3" localSheetId="2" hidden="1">#REF!</definedName>
    <definedName name="_9__123Graph_CCHART_3" hidden="1">#REF!</definedName>
    <definedName name="_9_0__123Graph_ECHAR" localSheetId="2" hidden="1">#REF!</definedName>
    <definedName name="_9_0__123Graph_ECHAR" hidden="1">#REF!</definedName>
    <definedName name="_A2" localSheetId="2" hidden="1">{"'VO'!$P$64:$S$69"}</definedName>
    <definedName name="_A2" hidden="1">{"'VO'!$P$64:$S$69"}</definedName>
    <definedName name="_ab1" localSheetId="2"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BC" localSheetId="2" hidden="1">#REF!</definedName>
    <definedName name="_ABC" hidden="1">#REF!</definedName>
    <definedName name="_act1" localSheetId="2" hidden="1">{#N/A,#N/A,FALSE,"WRSUMMARY";#N/A,#N/A,FALSE,"ANNEX-1";#N/A,#N/A,FALSE,"ANNEX-2";#N/A,#N/A,FALSE,"ANNEX-3";#N/A,#N/A,FALSE,"WORKING"}</definedName>
    <definedName name="_act1" hidden="1">{#N/A,#N/A,FALSE,"WRSUMMARY";#N/A,#N/A,FALSE,"ANNEX-1";#N/A,#N/A,FALSE,"ANNEX-2";#N/A,#N/A,FALSE,"ANNEX-3";#N/A,#N/A,FALSE,"WORKING"}</definedName>
    <definedName name="_as1" localSheetId="2"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BOQ2" localSheetId="2" hidden="1">{#N/A,#N/A,FALSE,"OUTPUT SHEET "}</definedName>
    <definedName name="_BOQ2" hidden="1">{#N/A,#N/A,FALSE,"OUTPUT SHEET "}</definedName>
    <definedName name="_cat12" localSheetId="2" hidden="1">{#N/A,#N/A,TRUE,"Front";#N/A,#N/A,TRUE,"Simple Letter";#N/A,#N/A,TRUE,"Inside";#N/A,#N/A,TRUE,"Contents";#N/A,#N/A,TRUE,"Basis";#N/A,#N/A,TRUE,"Inclusions";#N/A,#N/A,TRUE,"Exclusions";#N/A,#N/A,TRUE,"Areas";#N/A,#N/A,TRUE,"Summary";#N/A,#N/A,TRUE,"Detail"}</definedName>
    <definedName name="_cat12" hidden="1">{#N/A,#N/A,TRUE,"Front";#N/A,#N/A,TRUE,"Simple Letter";#N/A,#N/A,TRUE,"Inside";#N/A,#N/A,TRUE,"Contents";#N/A,#N/A,TRUE,"Basis";#N/A,#N/A,TRUE,"Inclusions";#N/A,#N/A,TRUE,"Exclusions";#N/A,#N/A,TRUE,"Areas";#N/A,#N/A,TRUE,"Summary";#N/A,#N/A,TRUE,"Detail"}</definedName>
    <definedName name="_ccr1" localSheetId="2" hidden="1">{#N/A,#N/A,TRUE,"Cover";#N/A,#N/A,TRUE,"Conts";#N/A,#N/A,TRUE,"VOS";#N/A,#N/A,TRUE,"Warrington";#N/A,#N/A,TRUE,"Widnes"}</definedName>
    <definedName name="_ccr1" hidden="1">{#N/A,#N/A,TRUE,"Cover";#N/A,#N/A,TRUE,"Conts";#N/A,#N/A,TRUE,"VOS";#N/A,#N/A,TRUE,"Warrington";#N/A,#N/A,TRUE,"Widnes"}</definedName>
    <definedName name="_ccr2" localSheetId="2" hidden="1">{#N/A,#N/A,TRUE,"Cover";#N/A,#N/A,TRUE,"Conts";#N/A,#N/A,TRUE,"VOS";#N/A,#N/A,TRUE,"Warrington";#N/A,#N/A,TRUE,"Widnes"}</definedName>
    <definedName name="_ccr2" hidden="1">{#N/A,#N/A,TRUE,"Cover";#N/A,#N/A,TRUE,"Conts";#N/A,#N/A,TRUE,"VOS";#N/A,#N/A,TRUE,"Warrington";#N/A,#N/A,TRUE,"Widnes"}</definedName>
    <definedName name="_com2" localSheetId="2" hidden="1">{"'Break down'!$A$4"}</definedName>
    <definedName name="_com2" hidden="1">{"'Break down'!$A$4"}</definedName>
    <definedName name="_dec05" localSheetId="2" hidden="1">{"'Sheet1'!$A$4386:$N$4591"}</definedName>
    <definedName name="_dec05" hidden="1">{"'Sheet1'!$A$4386:$N$4591"}</definedName>
    <definedName name="_Fill" localSheetId="2" hidden="1">#REF!</definedName>
    <definedName name="_Fill" hidden="1">#REF!</definedName>
    <definedName name="_Fill111" hidden="1">#REF!</definedName>
    <definedName name="_xlnm._FilterDatabase" localSheetId="2" hidden="1">'Payment Register'!$A$16:$BO$52</definedName>
    <definedName name="_xlnm._FilterDatabase" localSheetId="3" hidden="1">'VO LOG (2)'!$B$10:$V$95</definedName>
    <definedName name="_gk2" localSheetId="2" hidden="1">#REF!</definedName>
    <definedName name="_gk2" hidden="1">#REF!</definedName>
    <definedName name="_hp10" localSheetId="2" hidden="1">{#N/A,#N/A,TRUE,"Front";#N/A,#N/A,TRUE,"Simple Letter";#N/A,#N/A,TRUE,"Inside";#N/A,#N/A,TRUE,"Contents";#N/A,#N/A,TRUE,"Basis";#N/A,#N/A,TRUE,"Inclusions";#N/A,#N/A,TRUE,"Exclusions";#N/A,#N/A,TRUE,"Areas";#N/A,#N/A,TRUE,"Summary";#N/A,#N/A,TRUE,"Detail"}</definedName>
    <definedName name="_hp10" hidden="1">{#N/A,#N/A,TRUE,"Front";#N/A,#N/A,TRUE,"Simple Letter";#N/A,#N/A,TRUE,"Inside";#N/A,#N/A,TRUE,"Contents";#N/A,#N/A,TRUE,"Basis";#N/A,#N/A,TRUE,"Inclusions";#N/A,#N/A,TRUE,"Exclusions";#N/A,#N/A,TRUE,"Areas";#N/A,#N/A,TRUE,"Summary";#N/A,#N/A,TRUE,"Detail"}</definedName>
    <definedName name="_ID_Light" localSheetId="2" hidden="1">#REF!</definedName>
    <definedName name="_ID_Light" hidden="1">#REF!</definedName>
    <definedName name="_Key1" localSheetId="2" hidden="1">#REF!</definedName>
    <definedName name="_Key1" hidden="1">#REF!</definedName>
    <definedName name="_Key2" localSheetId="2" hidden="1">#REF!</definedName>
    <definedName name="_Key2" hidden="1">#REF!</definedName>
    <definedName name="_kfkf" localSheetId="2" hidden="1">#REF!</definedName>
    <definedName name="_kfkf" hidden="1">#REF!</definedName>
    <definedName name="_kp1" localSheetId="2" hidden="1">{#N/A,#N/A,TRUE,"Front";#N/A,#N/A,TRUE,"Simple Letter";#N/A,#N/A,TRUE,"Inside";#N/A,#N/A,TRUE,"Contents";#N/A,#N/A,TRUE,"Basis";#N/A,#N/A,TRUE,"Inclusions";#N/A,#N/A,TRUE,"Exclusions";#N/A,#N/A,TRUE,"Areas";#N/A,#N/A,TRUE,"Summary";#N/A,#N/A,TRUE,"Detail"}</definedName>
    <definedName name="_kp1" hidden="1">{#N/A,#N/A,TRUE,"Front";#N/A,#N/A,TRUE,"Simple Letter";#N/A,#N/A,TRUE,"Inside";#N/A,#N/A,TRUE,"Contents";#N/A,#N/A,TRUE,"Basis";#N/A,#N/A,TRUE,"Inclusions";#N/A,#N/A,TRUE,"Exclusions";#N/A,#N/A,TRUE,"Areas";#N/A,#N/A,TRUE,"Summary";#N/A,#N/A,TRUE,"Detail"}</definedName>
    <definedName name="_le3" localSheetId="2" hidden="1">{"'Break down'!$A$4"}</definedName>
    <definedName name="_le3" hidden="1">{"'Break down'!$A$4"}</definedName>
    <definedName name="_MatInverse_In" localSheetId="2" hidden="1">#REF!</definedName>
    <definedName name="_MatInverse_In" hidden="1">#REF!</definedName>
    <definedName name="_new8" localSheetId="2" hidden="1">#REF!</definedName>
    <definedName name="_new8" hidden="1">#REF!</definedName>
    <definedName name="_ngk1109" localSheetId="2" hidden="1">{#N/A,#N/A,FALSE,"估價單  (3)"}</definedName>
    <definedName name="_ngk1109" hidden="1">{#N/A,#N/A,FALSE,"估價單  (3)"}</definedName>
    <definedName name="_old3" localSheetId="2"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2"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2"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Parse_In" localSheetId="2" hidden="1">#REF!</definedName>
    <definedName name="_Parse_In" hidden="1">#REF!</definedName>
    <definedName name="_Parse_Out" localSheetId="2" hidden="1">#REF!</definedName>
    <definedName name="_Parse_Out" hidden="1">#REF!</definedName>
    <definedName name="_RAB002" localSheetId="2" hidden="1">{#N/A,#N/A,TRUE,"Front";#N/A,#N/A,TRUE,"Simple Letter";#N/A,#N/A,TRUE,"Inside";#N/A,#N/A,TRUE,"Contents";#N/A,#N/A,TRUE,"Basis";#N/A,#N/A,TRUE,"Inclusions";#N/A,#N/A,TRUE,"Exclusions";#N/A,#N/A,TRUE,"Areas";#N/A,#N/A,TRUE,"Summary";#N/A,#N/A,TRUE,"Detail"}</definedName>
    <definedName name="_RAB002" hidden="1">{#N/A,#N/A,TRUE,"Front";#N/A,#N/A,TRUE,"Simple Letter";#N/A,#N/A,TRUE,"Inside";#N/A,#N/A,TRUE,"Contents";#N/A,#N/A,TRUE,"Basis";#N/A,#N/A,TRUE,"Inclusions";#N/A,#N/A,TRUE,"Exclusions";#N/A,#N/A,TRUE,"Areas";#N/A,#N/A,TRUE,"Summary";#N/A,#N/A,TRUE,"Detail"}</definedName>
    <definedName name="_Regression_Int" hidden="1">1</definedName>
    <definedName name="_Regression_Out" localSheetId="2" hidden="1">#N/A</definedName>
    <definedName name="_Regression_Out" hidden="1">#REF!</definedName>
    <definedName name="_Regression_X" localSheetId="2" hidden="1">#N/A</definedName>
    <definedName name="_Regression_X" hidden="1">#REF!</definedName>
    <definedName name="_Regression_Y" localSheetId="2" hidden="1">#N/A</definedName>
    <definedName name="_Regression_Y" hidden="1">#REF!</definedName>
    <definedName name="_rev5" localSheetId="2" hidden="1">{#N/A,#N/A,FALSE,"CCTV"}</definedName>
    <definedName name="_rev5" hidden="1">{#N/A,#N/A,FALSE,"CCTV"}</definedName>
    <definedName name="_Sort" localSheetId="2" hidden="1">#REF!</definedName>
    <definedName name="_Sort" hidden="1">#REF!</definedName>
    <definedName name="_Table1_In1" localSheetId="2" hidden="1">#REF!</definedName>
    <definedName name="_Table1_In1" hidden="1">#REF!</definedName>
    <definedName name="_Table1_Out" localSheetId="2" hidden="1">#REF!</definedName>
    <definedName name="_Table1_Out" hidden="1">#REF!</definedName>
    <definedName name="_Table2_In1" localSheetId="2" hidden="1">#REF!</definedName>
    <definedName name="_Table2_In1" hidden="1">#REF!</definedName>
    <definedName name="_Table2_In2" localSheetId="2" hidden="1">#REF!</definedName>
    <definedName name="_Table2_In2" hidden="1">#REF!</definedName>
    <definedName name="_Table2_Out" localSheetId="2" hidden="1">#REF!</definedName>
    <definedName name="_Table2_Out" hidden="1">#REF!</definedName>
    <definedName name="_TDS2" localSheetId="2" hidden="1">{"'Sheet1'!$A$4386:$N$4591"}</definedName>
    <definedName name="_TDS2" hidden="1">{"'Sheet1'!$A$4386:$N$4591"}</definedName>
    <definedName name="_VO1" localSheetId="2" hidden="1">{"'VO'!$P$64:$S$69"}</definedName>
    <definedName name="_VO1" hidden="1">{"'VO'!$P$64:$S$69"}</definedName>
    <definedName name="_VO2" localSheetId="2" hidden="1">{"'VO'!$P$64:$S$69"}</definedName>
    <definedName name="_VO2" hidden="1">{"'VO'!$P$64:$S$69"}</definedName>
    <definedName name="_woogi" localSheetId="2" hidden="1">#REF!</definedName>
    <definedName name="_woogi" hidden="1">#REF!</definedName>
    <definedName name="_woogi2" localSheetId="2" hidden="1">#REF!</definedName>
    <definedName name="_woogi2" hidden="1">#REF!</definedName>
    <definedName name="_woogi24" localSheetId="2" hidden="1">#REF!</definedName>
    <definedName name="_woogi24" hidden="1">#REF!</definedName>
    <definedName name="_woogi3" localSheetId="2" hidden="1">#REF!</definedName>
    <definedName name="_woogi3" hidden="1">#REF!</definedName>
    <definedName name="_재ㅐ햐" localSheetId="2" hidden="1">#REF!</definedName>
    <definedName name="_재ㅐ햐" hidden="1">#REF!</definedName>
    <definedName name="\\" localSheetId="2" hidden="1">#REF!</definedName>
    <definedName name="\\" hidden="1">#REF!</definedName>
    <definedName name="\123" hidden="1">#REF!</definedName>
    <definedName name="\1234" hidden="1">#REF!</definedName>
    <definedName name="\12345" hidden="1">#REF!</definedName>
    <definedName name="\fdfggyu" localSheetId="2" hidden="1">#REF!</definedName>
    <definedName name="\fdfggyu" hidden="1">#REF!</definedName>
    <definedName name="´cAE°eE¹" localSheetId="2" hidden="1">#REF!</definedName>
    <definedName name="´cAE°eE¹" hidden="1">#REF!</definedName>
    <definedName name="￠￥cAE¡ÆeEⓒo" localSheetId="2" hidden="1">#REF!</definedName>
    <definedName name="￠￥cAE¡ÆeEⓒo" hidden="1">#REF!</definedName>
    <definedName name="a" hidden="1">{#N/A,#N/A,TRUE,"Cover";#N/A,#N/A,TRUE,"Conts";#N/A,#N/A,TRUE,"VOS";#N/A,#N/A,TRUE,"Warrington";#N/A,#N/A,TRUE,"Widnes"}</definedName>
    <definedName name="a\FGg" localSheetId="2" hidden="1">{#N/A,#N/A,TRUE,"Cover";#N/A,#N/A,TRUE,"Conts";#N/A,#N/A,TRUE,"VOS";#N/A,#N/A,TRUE,"Warrington";#N/A,#N/A,TRUE,"Widnes"}</definedName>
    <definedName name="a\FGg" hidden="1">{#N/A,#N/A,TRUE,"Cover";#N/A,#N/A,TRUE,"Conts";#N/A,#N/A,TRUE,"VOS";#N/A,#N/A,TRUE,"Warrington";#N/A,#N/A,TRUE,"Widnes"}</definedName>
    <definedName name="a\sdasdf" localSheetId="2" hidden="1">{#N/A,#N/A,TRUE,"Cover";#N/A,#N/A,TRUE,"Conts";#N/A,#N/A,TRUE,"VOS";#N/A,#N/A,TRUE,"Warrington";#N/A,#N/A,TRUE,"Widnes"}</definedName>
    <definedName name="a\sdasdf" hidden="1">{#N/A,#N/A,TRUE,"Cover";#N/A,#N/A,TRUE,"Conts";#N/A,#N/A,TRUE,"VOS";#N/A,#N/A,TRUE,"Warrington";#N/A,#N/A,TRUE,"Widnes"}</definedName>
    <definedName name="aaaa" hidden="1">{#N/A,#N/A,FALSE,"CCTV"}</definedName>
    <definedName name="aaaa1" localSheetId="2" hidden="1">#REF!</definedName>
    <definedName name="aaaa1" hidden="1">#REF!</definedName>
    <definedName name="aaaaa" localSheetId="2" hidden="1">{#N/A,#N/A,FALSE,"이정표"}</definedName>
    <definedName name="aaaaa" hidden="1">{#N/A,#N/A,FALSE,"이정표"}</definedName>
    <definedName name="aaAAAA" hidden="1">#REF!</definedName>
    <definedName name="aaaaaaa" localSheetId="2" hidden="1">{#N/A,#N/A,FALSE,"type1";#N/A,#N/A,FALSE,"지지력";#N/A,#N/A,FALSE,"PILE계산";#N/A,#N/A,FALSE,"PILE ";#N/A,#N/A,FALSE,"철근량";#N/A,#N/A,FALSE,"균열검토";#N/A,#N/A,FALSE,"날개벽";#N/A,#N/A,FALSE,"주철근조립도";#N/A,#N/A,FALSE,"교좌"}</definedName>
    <definedName name="aaaaaaa" hidden="1">{#N/A,#N/A,FALSE,"type1";#N/A,#N/A,FALSE,"지지력";#N/A,#N/A,FALSE,"PILE계산";#N/A,#N/A,FALSE,"PILE ";#N/A,#N/A,FALSE,"철근량";#N/A,#N/A,FALSE,"균열검토";#N/A,#N/A,FALSE,"날개벽";#N/A,#N/A,FALSE,"주철근조립도";#N/A,#N/A,FALSE,"교좌"}</definedName>
    <definedName name="aaaaaaaa" localSheetId="2" hidden="1">{#N/A,#N/A,TRUE,"Cover";#N/A,#N/A,TRUE,"Conts";#N/A,#N/A,TRUE,"VOS";#N/A,#N/A,TRUE,"Warrington";#N/A,#N/A,TRUE,"Widnes"}</definedName>
    <definedName name="aaaaaaaa" hidden="1">{#N/A,#N/A,TRUE,"Cover";#N/A,#N/A,TRUE,"Conts";#N/A,#N/A,TRUE,"VOS";#N/A,#N/A,TRUE,"Warrington";#N/A,#N/A,TRUE,"Widnes"}</definedName>
    <definedName name="AAAAAAAAAAAAAAAAA" localSheetId="2" hidden="1">#REF!</definedName>
    <definedName name="AAAAAAAAAAAAAAAAA" hidden="1">#REF!</definedName>
    <definedName name="ab" localSheetId="2" hidden="1">{#N/A,#N/A,FALSE,"SumD";#N/A,#N/A,FALSE,"ElecD";#N/A,#N/A,FALSE,"MechD";#N/A,#N/A,FALSE,"GeotD";#N/A,#N/A,FALSE,"PrcsD";#N/A,#N/A,FALSE,"TunnD";#N/A,#N/A,FALSE,"CivlD";#N/A,#N/A,FALSE,"NtwkD";#N/A,#N/A,FALSE,"EstgD";#N/A,#N/A,FALSE,"PEngD"}</definedName>
    <definedName name="ab" hidden="1">{#N/A,#N/A,FALSE,"SumD";#N/A,#N/A,FALSE,"ElecD";#N/A,#N/A,FALSE,"MechD";#N/A,#N/A,FALSE,"GeotD";#N/A,#N/A,FALSE,"PrcsD";#N/A,#N/A,FALSE,"TunnD";#N/A,#N/A,FALSE,"CivlD";#N/A,#N/A,FALSE,"NtwkD";#N/A,#N/A,FALSE,"EstgD";#N/A,#N/A,FALSE,"PEngD"}</definedName>
    <definedName name="abc" hidden="1">{"'con_010'!$A$1:$AN$63"}</definedName>
    <definedName name="ABCD" localSheetId="2" hidden="1">#REF!</definedName>
    <definedName name="ABCD" hidden="1">#REF!</definedName>
    <definedName name="abcdef" localSheetId="2" hidden="1">{"Cost Summary",#N/A,FALSE,"B";"Cost Detail 1",#N/A,FALSE,"C";"Cost Detail 2",#N/A,FALSE,"C"}</definedName>
    <definedName name="abcdef" hidden="1">{"Cost Summary",#N/A,FALSE,"B";"Cost Detail 1",#N/A,FALSE,"C";"Cost Detail 2",#N/A,FALSE,"C"}</definedName>
    <definedName name="abcdefg" localSheetId="2" hidden="1">{#N/A,#N/A,TRUE,"Cover";#N/A,#N/A,TRUE,"Conts";#N/A,#N/A,TRUE,"VOS";#N/A,#N/A,TRUE,"Warrington";#N/A,#N/A,TRUE,"Widnes"}</definedName>
    <definedName name="abcdefg" hidden="1">{#N/A,#N/A,TRUE,"Cover";#N/A,#N/A,TRUE,"Conts";#N/A,#N/A,TRUE,"VOS";#N/A,#N/A,TRUE,"Warrington";#N/A,#N/A,TRUE,"Widnes"}</definedName>
    <definedName name="abel" localSheetId="2" hidden="1">#REF!</definedName>
    <definedName name="abel" hidden="1">#REF!</definedName>
    <definedName name="abstractEB" localSheetId="2" hidden="1">{#N/A,#N/A,TRUE,"Front";#N/A,#N/A,TRUE,"Simple Letter";#N/A,#N/A,TRUE,"Inside";#N/A,#N/A,TRUE,"Contents";#N/A,#N/A,TRUE,"Basis";#N/A,#N/A,TRUE,"Inclusions";#N/A,#N/A,TRUE,"Exclusions";#N/A,#N/A,TRUE,"Areas";#N/A,#N/A,TRUE,"Summary";#N/A,#N/A,TRUE,"Detail"}</definedName>
    <definedName name="abstractEB" hidden="1">{#N/A,#N/A,TRUE,"Front";#N/A,#N/A,TRUE,"Simple Letter";#N/A,#N/A,TRUE,"Inside";#N/A,#N/A,TRUE,"Contents";#N/A,#N/A,TRUE,"Basis";#N/A,#N/A,TRUE,"Inclusions";#N/A,#N/A,TRUE,"Exclusions";#N/A,#N/A,TRUE,"Areas";#N/A,#N/A,TRUE,"Summary";#N/A,#N/A,TRUE,"Detail"}</definedName>
    <definedName name="abxtraxt" localSheetId="2" hidden="1">{#N/A,#N/A,TRUE,"Front";#N/A,#N/A,TRUE,"Simple Letter";#N/A,#N/A,TRUE,"Inside";#N/A,#N/A,TRUE,"Contents";#N/A,#N/A,TRUE,"Basis";#N/A,#N/A,TRUE,"Inclusions";#N/A,#N/A,TRUE,"Exclusions";#N/A,#N/A,TRUE,"Areas";#N/A,#N/A,TRUE,"Summary";#N/A,#N/A,TRUE,"Detail"}</definedName>
    <definedName name="abxtraxt" hidden="1">{#N/A,#N/A,TRUE,"Front";#N/A,#N/A,TRUE,"Simple Letter";#N/A,#N/A,TRUE,"Inside";#N/A,#N/A,TRUE,"Contents";#N/A,#N/A,TRUE,"Basis";#N/A,#N/A,TRUE,"Inclusions";#N/A,#N/A,TRUE,"Exclusions";#N/A,#N/A,TRUE,"Areas";#N/A,#N/A,TRUE,"Summary";#N/A,#N/A,TRUE,"Detail"}</definedName>
    <definedName name="ac" localSheetId="2" hidden="1">{#N/A,#N/A,FALSE,"SumD";#N/A,#N/A,FALSE,"ElecD";#N/A,#N/A,FALSE,"MechD";#N/A,#N/A,FALSE,"GeotD";#N/A,#N/A,FALSE,"PrcsD";#N/A,#N/A,FALSE,"TunnD";#N/A,#N/A,FALSE,"CivlD";#N/A,#N/A,FALSE,"NtwkD";#N/A,#N/A,FALSE,"EstgD";#N/A,#N/A,FALSE,"PEngD"}</definedName>
    <definedName name="ac" hidden="1">{#N/A,#N/A,FALSE,"SumD";#N/A,#N/A,FALSE,"ElecD";#N/A,#N/A,FALSE,"MechD";#N/A,#N/A,FALSE,"GeotD";#N/A,#N/A,FALSE,"PrcsD";#N/A,#N/A,FALSE,"TunnD";#N/A,#N/A,FALSE,"CivlD";#N/A,#N/A,FALSE,"NtwkD";#N/A,#N/A,FALSE,"EstgD";#N/A,#N/A,FALSE,"PEngD"}</definedName>
    <definedName name="AccessDatabase" localSheetId="2" hidden="1">"C:\MSOffice\Templates\Cooling Load Analysis\Load Analysis Calcs (2E).mdb"</definedName>
    <definedName name="AccessDatabase" hidden="1">"D:\MIS\TALLY  31.09.04 sep\AS PER TALLY 31.09.04.mdb"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omation" localSheetId="2" hidden="1">#REF!</definedName>
    <definedName name="accomation" hidden="1">#REF!</definedName>
    <definedName name="actp" localSheetId="2"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u" localSheetId="2" hidden="1">#REF!</definedName>
    <definedName name="acu" hidden="1">#REF!</definedName>
    <definedName name="AD" localSheetId="2" hidden="1">{"'Sheet1'!$A$4386:$N$4591"}</definedName>
    <definedName name="AD" hidden="1">{"'Sheet1'!$A$4386:$N$4591"}</definedName>
    <definedName name="ada" localSheetId="2" hidden="1">{#N/A,#N/A,FALSE,"RESUMEN ECON.";#N/A,#N/A,FALSE,"Costos de R.H.";#N/A,#N/A,FALSE,"COSTO HW";#N/A,#N/A,FALSE,"CUADROS";#N/A,#N/A,FALSE,"SCADA´s";#N/A,#N/A,FALSE,"PRECIOS EQUIPOS"}</definedName>
    <definedName name="ada" hidden="1">{#N/A,#N/A,FALSE,"RESUMEN ECON.";#N/A,#N/A,FALSE,"Costos de R.H.";#N/A,#N/A,FALSE,"COSTO HW";#N/A,#N/A,FALSE,"CUADROS";#N/A,#N/A,FALSE,"SCADA´s";#N/A,#N/A,FALSE,"PRECIOS EQUIPOS"}</definedName>
    <definedName name="adadad" localSheetId="2" hidden="1">{#N/A,#N/A,TRUE,"Cover";#N/A,#N/A,TRUE,"Conts";#N/A,#N/A,TRUE,"VOS";#N/A,#N/A,TRUE,"Warrington";#N/A,#N/A,TRUE,"Widnes"}</definedName>
    <definedName name="adadad" hidden="1">{#N/A,#N/A,TRUE,"Cover";#N/A,#N/A,TRUE,"Conts";#N/A,#N/A,TRUE,"VOS";#N/A,#N/A,TRUE,"Warrington";#N/A,#N/A,TRUE,"Widnes"}</definedName>
    <definedName name="addad" localSheetId="2" hidden="1">{#N/A,#N/A,TRUE,"Cover";#N/A,#N/A,TRUE,"Conts";#N/A,#N/A,TRUE,"VOS";#N/A,#N/A,TRUE,"Warrington";#N/A,#N/A,TRUE,"Widnes"}</definedName>
    <definedName name="addad" hidden="1">{#N/A,#N/A,TRUE,"Cover";#N/A,#N/A,TRUE,"Conts";#N/A,#N/A,TRUE,"VOS";#N/A,#N/A,TRUE,"Warrington";#N/A,#N/A,TRUE,"Widnes"}</definedName>
    <definedName name="adf" localSheetId="2" hidden="1">{"'Break down'!$A$4"}</definedName>
    <definedName name="adf" hidden="1">{"'Break down'!$A$4"}</definedName>
    <definedName name="adfg" localSheetId="2" hidden="1">{"'Break down'!$A$4"}</definedName>
    <definedName name="adfg" hidden="1">{"'Break down'!$A$4"}</definedName>
    <definedName name="adfsasdf" hidden="1">#REF!</definedName>
    <definedName name="Adminexp" localSheetId="2" hidden="1">{#N/A,#N/A,TRUE,"Front";#N/A,#N/A,TRUE,"Simple Letter";#N/A,#N/A,TRUE,"Inside";#N/A,#N/A,TRUE,"Contents";#N/A,#N/A,TRUE,"Basis";#N/A,#N/A,TRUE,"Inclusions";#N/A,#N/A,TRUE,"Exclusions";#N/A,#N/A,TRUE,"Areas";#N/A,#N/A,TRUE,"Summary";#N/A,#N/A,TRUE,"Detail"}</definedName>
    <definedName name="Adminexp" hidden="1">{#N/A,#N/A,TRUE,"Front";#N/A,#N/A,TRUE,"Simple Letter";#N/A,#N/A,TRUE,"Inside";#N/A,#N/A,TRUE,"Contents";#N/A,#N/A,TRUE,"Basis";#N/A,#N/A,TRUE,"Inclusions";#N/A,#N/A,TRUE,"Exclusions";#N/A,#N/A,TRUE,"Areas";#N/A,#N/A,TRUE,"Summary";#N/A,#N/A,TRUE,"Detail"}</definedName>
    <definedName name="aegrgas" localSheetId="2" hidden="1">{#N/A,#N/A,TRUE,"Cover";#N/A,#N/A,TRUE,"Conts";#N/A,#N/A,TRUE,"VOS";#N/A,#N/A,TRUE,"Warrington";#N/A,#N/A,TRUE,"Widnes"}</definedName>
    <definedName name="aegrgas" hidden="1">{#N/A,#N/A,TRUE,"Cover";#N/A,#N/A,TRUE,"Conts";#N/A,#N/A,TRUE,"VOS";#N/A,#N/A,TRUE,"Warrington";#N/A,#N/A,TRUE,"Widnes"}</definedName>
    <definedName name="AERAFG" localSheetId="2" hidden="1">{#N/A,#N/A,TRUE,"Cover";#N/A,#N/A,TRUE,"Conts";#N/A,#N/A,TRUE,"VOS";#N/A,#N/A,TRUE,"Warrington";#N/A,#N/A,TRUE,"Widnes"}</definedName>
    <definedName name="AERAFG" hidden="1">{#N/A,#N/A,TRUE,"Cover";#N/A,#N/A,TRUE,"Conts";#N/A,#N/A,TRUE,"VOS";#N/A,#N/A,TRUE,"Warrington";#N/A,#N/A,TRUE,"Widnes"}</definedName>
    <definedName name="aerrt" hidden="1">#REF!</definedName>
    <definedName name="aerte" localSheetId="2" hidden="1">{#N/A,#N/A,TRUE,"Cover";#N/A,#N/A,TRUE,"Conts";#N/A,#N/A,TRUE,"VOS";#N/A,#N/A,TRUE,"Warrington";#N/A,#N/A,TRUE,"Widnes"}</definedName>
    <definedName name="aerte" hidden="1">{#N/A,#N/A,TRUE,"Cover";#N/A,#N/A,TRUE,"Conts";#N/A,#N/A,TRUE,"VOS";#N/A,#N/A,TRUE,"Warrington";#N/A,#N/A,TRUE,"Widnes"}</definedName>
    <definedName name="aertes" localSheetId="2" hidden="1">{#N/A,#N/A,TRUE,"Cover";#N/A,#N/A,TRUE,"Conts";#N/A,#N/A,TRUE,"VOS";#N/A,#N/A,TRUE,"Warrington";#N/A,#N/A,TRUE,"Widnes"}</definedName>
    <definedName name="aertes" hidden="1">{#N/A,#N/A,TRUE,"Cover";#N/A,#N/A,TRUE,"Conts";#N/A,#N/A,TRUE,"VOS";#N/A,#N/A,TRUE,"Warrington";#N/A,#N/A,TRUE,"Widnes"}</definedName>
    <definedName name="aetertryh" localSheetId="2" hidden="1">{#N/A,#N/A,TRUE,"Cover";#N/A,#N/A,TRUE,"Conts";#N/A,#N/A,TRUE,"VOS";#N/A,#N/A,TRUE,"Warrington";#N/A,#N/A,TRUE,"Widnes"}</definedName>
    <definedName name="aetertryh" hidden="1">{#N/A,#N/A,TRUE,"Cover";#N/A,#N/A,TRUE,"Conts";#N/A,#N/A,TRUE,"VOS";#N/A,#N/A,TRUE,"Warrington";#N/A,#N/A,TRUE,"Widnes"}</definedName>
    <definedName name="afasd" localSheetId="2" hidden="1">{#N/A,#N/A,FALSE,"단가표지"}</definedName>
    <definedName name="afasd" hidden="1">{#N/A,#N/A,FALSE,"단가표지"}</definedName>
    <definedName name="afd" localSheetId="2" hidden="1">{#N/A,#N/A,FALSE,"운반시간"}</definedName>
    <definedName name="afd" hidden="1">#REF!</definedName>
    <definedName name="afdasgh" localSheetId="2" hidden="1">{#N/A,#N/A,FALSE,"CCTV"}</definedName>
    <definedName name="afdasgh" hidden="1">{#N/A,#N/A,FALSE,"CCTV"}</definedName>
    <definedName name="afdggf" localSheetId="2" hidden="1">{"'Break down'!$A$4"}</definedName>
    <definedName name="afdggf" hidden="1">{"'Break down'!$A$4"}</definedName>
    <definedName name="afdsfdg" localSheetId="2" hidden="1">{#N/A,#N/A,FALSE,"CCTV"}</definedName>
    <definedName name="afdsfdg" hidden="1">{#N/A,#N/A,FALSE,"CCTV"}</definedName>
    <definedName name="aff" hidden="1">{#N/A,#N/A,TRUE,"Cover";#N/A,#N/A,TRUE,"Conts";#N/A,#N/A,TRUE,"VOS";#N/A,#N/A,TRUE,"Warrington";#N/A,#N/A,TRUE,"Widnes"}</definedName>
    <definedName name="afffgff" localSheetId="2" hidden="1">{#N/A,#N/A,FALSE,"CCTV"}</definedName>
    <definedName name="afffgff" hidden="1">{#N/A,#N/A,FALSE,"CCTV"}</definedName>
    <definedName name="AFSDFASD" hidden="1">#REF!</definedName>
    <definedName name="agr" hidden="1">#REF!</definedName>
    <definedName name="AHUFan" localSheetId="2" hidden="1">#REF!</definedName>
    <definedName name="AHUFan" hidden="1">#REF!</definedName>
    <definedName name="aircraft" localSheetId="2" hidden="1">#REF!</definedName>
    <definedName name="aircraft" hidden="1">#REF!</definedName>
    <definedName name="AK_1972" localSheetId="2" hidden="1">{#N/A,#N/A,TRUE,"Front";#N/A,#N/A,TRUE,"Simple Letter";#N/A,#N/A,TRUE,"Inside";#N/A,#N/A,TRUE,"Contents";#N/A,#N/A,TRUE,"Basis";#N/A,#N/A,TRUE,"Inclusions";#N/A,#N/A,TRUE,"Exclusions";#N/A,#N/A,TRUE,"Areas";#N/A,#N/A,TRUE,"Summary";#N/A,#N/A,TRUE,"Detail"}</definedName>
    <definedName name="AK_1972" hidden="1">{#N/A,#N/A,TRUE,"Front";#N/A,#N/A,TRUE,"Simple Letter";#N/A,#N/A,TRUE,"Inside";#N/A,#N/A,TRUE,"Contents";#N/A,#N/A,TRUE,"Basis";#N/A,#N/A,TRUE,"Inclusions";#N/A,#N/A,TRUE,"Exclusions";#N/A,#N/A,TRUE,"Areas";#N/A,#N/A,TRUE,"Summary";#N/A,#N/A,TRUE,"Detail"}</definedName>
    <definedName name="AKS" localSheetId="2" hidden="1">#REF!</definedName>
    <definedName name="AKS" hidden="1">#REF!</definedName>
    <definedName name="alp" hidden="1">#REF!</definedName>
    <definedName name="amit" localSheetId="2" hidden="1">{"Cost Summary",#N/A,FALSE,"B";"Cost Detail 1",#N/A,FALSE,"C";"Cost Detail 2",#N/A,FALSE,"C"}</definedName>
    <definedName name="amit" hidden="1">{"Cost Summary",#N/A,FALSE,"B";"Cost Detail 1",#N/A,FALSE,"C";"Cost Detail 2",#N/A,FALSE,"C"}</definedName>
    <definedName name="anitha" localSheetId="2" hidden="1">{"'Break down'!$A$4"}</definedName>
    <definedName name="anitha" hidden="1">{"'Break down'!$A$4"}</definedName>
    <definedName name="anscount" hidden="1">1</definedName>
    <definedName name="appraisal" localSheetId="2" hidden="1">{#N/A,#N/A,TRUE,"Cover";#N/A,#N/A,TRUE,"Conts";#N/A,#N/A,TRUE,"VOS";#N/A,#N/A,TRUE,"Warrington";#N/A,#N/A,TRUE,"Widnes"}</definedName>
    <definedName name="appraisal" hidden="1">{#N/A,#N/A,TRUE,"Cover";#N/A,#N/A,TRUE,"Conts";#N/A,#N/A,TRUE,"VOS";#N/A,#N/A,TRUE,"Warrington";#N/A,#N/A,TRUE,"Widnes"}</definedName>
    <definedName name="apty" localSheetId="2" hidden="1">{#N/A,#N/A,FALSE,"WRSUMMARY";#N/A,#N/A,FALSE,"ANNEX-1";#N/A,#N/A,FALSE,"ANNEX-2";#N/A,#N/A,FALSE,"ANNEX-3";#N/A,#N/A,FALSE,"WORKING"}</definedName>
    <definedName name="apty" hidden="1">{#N/A,#N/A,FALSE,"WRSUMMARY";#N/A,#N/A,FALSE,"ANNEX-1";#N/A,#N/A,FALSE,"ANNEX-2";#N/A,#N/A,FALSE,"ANNEX-3";#N/A,#N/A,FALSE,"WORKING"}</definedName>
    <definedName name="AQ" localSheetId="2" hidden="1">{#N/A,#N/A,FALSE,"CCTV"}</definedName>
    <definedName name="AQ" hidden="1">{#N/A,#N/A,FALSE,"CCTV"}</definedName>
    <definedName name="aquatic" localSheetId="2" hidden="1">{"'Break down'!$A$4"}</definedName>
    <definedName name="aquatic" hidden="1">{"'Break down'!$A$4"}</definedName>
    <definedName name="aquatic1" localSheetId="2" hidden="1">{"'Break down'!$A$4"}</definedName>
    <definedName name="aquatic1" hidden="1">{"'Break down'!$A$4"}</definedName>
    <definedName name="AQW" localSheetId="2" hidden="1">{#N/A,#N/A,FALSE,"CCTV"}</definedName>
    <definedName name="AQW" hidden="1">{#N/A,#N/A,FALSE,"CCTV"}</definedName>
    <definedName name="ariseew" localSheetId="2" hidden="1">#REF!</definedName>
    <definedName name="ariseew" hidden="1">#REF!</definedName>
    <definedName name="ARUN" localSheetId="2" hidden="1">#REF!</definedName>
    <definedName name="ARUN" hidden="1">#REF!</definedName>
    <definedName name="as" localSheetId="2" hidden="1">{#N/A,#N/A,FALSE,"SumD";#N/A,#N/A,FALSE,"ElecD";#N/A,#N/A,FALSE,"MechD";#N/A,#N/A,FALSE,"GeotD";#N/A,#N/A,FALSE,"PrcsD";#N/A,#N/A,FALSE,"TunnD";#N/A,#N/A,FALSE,"CivlD";#N/A,#N/A,FALSE,"NtwkD";#N/A,#N/A,FALSE,"EstgD";#N/A,#N/A,FALSE,"PEngD"}</definedName>
    <definedName name="as" hidden="1">{#N/A,#N/A,FALSE,"SumD";#N/A,#N/A,FALSE,"ElecD";#N/A,#N/A,FALSE,"MechD";#N/A,#N/A,FALSE,"GeotD";#N/A,#N/A,FALSE,"PrcsD";#N/A,#N/A,FALSE,"TunnD";#N/A,#N/A,FALSE,"CivlD";#N/A,#N/A,FALSE,"NtwkD";#N/A,#N/A,FALSE,"EstgD";#N/A,#N/A,FALSE,"PEngD"}</definedName>
    <definedName name="asadad" localSheetId="2" hidden="1">{#N/A,#N/A,TRUE,"Cover";#N/A,#N/A,TRUE,"Conts";#N/A,#N/A,TRUE,"VOS";#N/A,#N/A,TRUE,"Warrington";#N/A,#N/A,TRUE,"Widnes"}</definedName>
    <definedName name="asadad" hidden="1">{#N/A,#N/A,TRUE,"Cover";#N/A,#N/A,TRUE,"Conts";#N/A,#N/A,TRUE,"VOS";#N/A,#N/A,TRUE,"Warrington";#N/A,#N/A,TRUE,"Widnes"}</definedName>
    <definedName name="ASB" localSheetId="2" hidden="1">{#N/A,#N/A,FALSE,"MARCH"}</definedName>
    <definedName name="ASB" hidden="1">{#N/A,#N/A,FALSE,"MARCH"}</definedName>
    <definedName name="asd" localSheetId="2" hidden="1">{#N/A,#N/A,FALSE,"RESUMEN ECON.";#N/A,#N/A,FALSE,"Costos de R.H.";#N/A,#N/A,FALSE,"COSTO HW";#N/A,#N/A,FALSE,"CUADROS";#N/A,#N/A,FALSE,"SCADA´s";#N/A,#N/A,FALSE,"PRECIOS EQUIPOS"}</definedName>
    <definedName name="ASDA" localSheetId="2" hidden="1">{"'장비'!$A$3:$M$12"}</definedName>
    <definedName name="ASDA" hidden="1">{"'장비'!$A$3:$M$12"}</definedName>
    <definedName name="ASDF" localSheetId="2" hidden="1">{#N/A,#N/A,FALSE,"CCTV"}</definedName>
    <definedName name="ASDF" hidden="1">{#N/A,#N/A,FALSE,"CCTV"}</definedName>
    <definedName name="asdfg" hidden="1">#REF!</definedName>
    <definedName name="ASDFGH" localSheetId="2" hidden="1">{#N/A,#N/A,FALSE,"CCTV"}</definedName>
    <definedName name="ASDFGH" hidden="1">{#N/A,#N/A,FALSE,"CCTV"}</definedName>
    <definedName name="asdfsa" localSheetId="2" hidden="1">#REF!</definedName>
    <definedName name="asdfsa" hidden="1">#REF!</definedName>
    <definedName name="asdfsadf" hidden="1">#REF!</definedName>
    <definedName name="asdft" hidden="1">#REF!</definedName>
    <definedName name="asdftg" hidden="1">#REF!</definedName>
    <definedName name="asfas" localSheetId="2" hidden="1">{#N/A,#N/A,FALSE,"표지목차"}</definedName>
    <definedName name="asfas" hidden="1">{#N/A,#N/A,FALSE,"표지목차"}</definedName>
    <definedName name="asfg" hidden="1">#REF!</definedName>
    <definedName name="asgseg" localSheetId="2" hidden="1">{#N/A,#N/A,TRUE,"Cover";#N/A,#N/A,TRUE,"Conts";#N/A,#N/A,TRUE,"VOS";#N/A,#N/A,TRUE,"Warrington";#N/A,#N/A,TRUE,"Widnes"}</definedName>
    <definedName name="asgseg" hidden="1">{#N/A,#N/A,TRUE,"Cover";#N/A,#N/A,TRUE,"Conts";#N/A,#N/A,TRUE,"VOS";#N/A,#N/A,TRUE,"Warrington";#N/A,#N/A,TRUE,"Widnes"}</definedName>
    <definedName name="asrasnrjutu" localSheetId="2" hidden="1">{#N/A,#N/A,TRUE,"Cover";#N/A,#N/A,TRUE,"Conts";#N/A,#N/A,TRUE,"VOS";#N/A,#N/A,TRUE,"Warrington";#N/A,#N/A,TRUE,"Widnes"}</definedName>
    <definedName name="asrasnrjutu" hidden="1">{#N/A,#N/A,TRUE,"Cover";#N/A,#N/A,TRUE,"Conts";#N/A,#N/A,TRUE,"VOS";#N/A,#N/A,TRUE,"Warrington";#N/A,#N/A,TRUE,"Widnes"}</definedName>
    <definedName name="ASSA" localSheetId="2" hidden="1">{#N/A,#N/A,TRUE,"Cover";#N/A,#N/A,TRUE,"Conts";#N/A,#N/A,TRUE,"VOS";#N/A,#N/A,TRUE,"Warrington";#N/A,#N/A,TRUE,"Widnes"}</definedName>
    <definedName name="ASSA" hidden="1">{#N/A,#N/A,TRUE,"Cover";#N/A,#N/A,TRUE,"Conts";#N/A,#N/A,TRUE,"VOS";#N/A,#N/A,TRUE,"Warrington";#N/A,#N/A,TRUE,"Widnes"}</definedName>
    <definedName name="assadg" hidden="1">#REF!</definedName>
    <definedName name="asss" localSheetId="2" hidden="1">{#N/A,#N/A,TRUE,"Cover";#N/A,#N/A,TRUE,"Conts";#N/A,#N/A,TRUE,"VOS";#N/A,#N/A,TRUE,"Warrington";#N/A,#N/A,TRUE,"Widnes"}</definedName>
    <definedName name="asss" hidden="1">{#N/A,#N/A,TRUE,"Cover";#N/A,#N/A,TRUE,"Conts";#N/A,#N/A,TRUE,"VOS";#N/A,#N/A,TRUE,"Warrington";#N/A,#N/A,TRUE,"Widnes"}</definedName>
    <definedName name="awery" hidden="1">#REF!</definedName>
    <definedName name="awt" localSheetId="2" hidden="1">{#N/A,#N/A,TRUE,"Cover";#N/A,#N/A,TRUE,"Conts";#N/A,#N/A,TRUE,"VOS";#N/A,#N/A,TRUE,"Warrington";#N/A,#N/A,TRUE,"Widnes"}</definedName>
    <definedName name="awt" hidden="1">{#N/A,#N/A,TRUE,"Cover";#N/A,#N/A,TRUE,"Conts";#N/A,#N/A,TRUE,"VOS";#N/A,#N/A,TRUE,"Warrington";#N/A,#N/A,TRUE,"Widnes"}</definedName>
    <definedName name="awyawghh" localSheetId="2" hidden="1">{#N/A,#N/A,TRUE,"Cover";#N/A,#N/A,TRUE,"Conts";#N/A,#N/A,TRUE,"VOS";#N/A,#N/A,TRUE,"Warrington";#N/A,#N/A,TRUE,"Widnes"}</definedName>
    <definedName name="awyawghh" hidden="1">{#N/A,#N/A,TRUE,"Cover";#N/A,#N/A,TRUE,"Conts";#N/A,#N/A,TRUE,"VOS";#N/A,#N/A,TRUE,"Warrington";#N/A,#N/A,TRUE,"Widnes"}</definedName>
    <definedName name="b" hidden="1">{#N/A,#N/A,TRUE,"Cover";#N/A,#N/A,TRUE,"Conts";#N/A,#N/A,TRUE,"VOS";#N/A,#N/A,TRUE,"Warrington";#N/A,#N/A,TRUE,"Widnes"}</definedName>
    <definedName name="basin" localSheetId="2" hidden="1">{"'장비'!$A$3:$M$12"}</definedName>
    <definedName name="basin" hidden="1">{"'장비'!$A$3:$M$12"}</definedName>
    <definedName name="bbb" localSheetId="2" hidden="1">{#N/A,#N/A,TRUE,"RESUMEN ECON.";#N/A,#N/A,TRUE,"Costos de R.H.";#N/A,#N/A,TRUE,"COSTO HW";#N/A,#N/A,TRUE,"CUADROS";#N/A,#N/A,TRUE,"SCADA´s";#N/A,#N/A,TRUE,"PRECIOS EQUIPOS"}</definedName>
    <definedName name="bbb" hidden="1">{#N/A,#N/A,TRUE,"RESUMEN ECON.";#N/A,#N/A,TRUE,"Costos de R.H.";#N/A,#N/A,TRUE,"COSTO HW";#N/A,#N/A,TRUE,"CUADROS";#N/A,#N/A,TRUE,"SCADA´s";#N/A,#N/A,TRUE,"PRECIOS EQUIPOS"}</definedName>
    <definedName name="bbbbbbbbbb" localSheetId="2" hidden="1">#REF!</definedName>
    <definedName name="bbbbbbbbbb" hidden="1">#REF!</definedName>
    <definedName name="bbbdgdf" localSheetId="2" hidden="1">{#N/A,#N/A,TRUE,"Front";#N/A,#N/A,TRUE,"Simple Letter";#N/A,#N/A,TRUE,"Inside";#N/A,#N/A,TRUE,"Contents";#N/A,#N/A,TRUE,"Basis";#N/A,#N/A,TRUE,"Inclusions";#N/A,#N/A,TRUE,"Exclusions";#N/A,#N/A,TRUE,"Areas";#N/A,#N/A,TRUE,"Summary";#N/A,#N/A,TRUE,"Detail"}</definedName>
    <definedName name="bbbdgdf" hidden="1">{#N/A,#N/A,TRUE,"Front";#N/A,#N/A,TRUE,"Simple Letter";#N/A,#N/A,TRUE,"Inside";#N/A,#N/A,TRUE,"Contents";#N/A,#N/A,TRUE,"Basis";#N/A,#N/A,TRUE,"Inclusions";#N/A,#N/A,TRUE,"Exclusions";#N/A,#N/A,TRUE,"Areas";#N/A,#N/A,TRUE,"Summary";#N/A,#N/A,TRUE,"Detail"}</definedName>
    <definedName name="BC" hidden="1">#REF!</definedName>
    <definedName name="BCIS" localSheetId="2" hidden="1">{#N/A,#N/A,TRUE,"Cover";#N/A,#N/A,TRUE,"Conts";#N/A,#N/A,TRUE,"VOS";#N/A,#N/A,TRUE,"Warrington";#N/A,#N/A,TRUE,"Widnes"}</definedName>
    <definedName name="BCIS" hidden="1">{#N/A,#N/A,TRUE,"Cover";#N/A,#N/A,TRUE,"Conts";#N/A,#N/A,TRUE,"VOS";#N/A,#N/A,TRUE,"Warrington";#N/A,#N/A,TRUE,"Widnes"}</definedName>
    <definedName name="bct" localSheetId="2" hidden="1">{#N/A,#N/A,FALSE,"WRSUMMARY";#N/A,#N/A,FALSE,"ANNEX-1";#N/A,#N/A,FALSE,"ANNEX-2";#N/A,#N/A,FALSE,"ANNEX-3";#N/A,#N/A,FALSE,"WORKING"}</definedName>
    <definedName name="bct" hidden="1">{#N/A,#N/A,FALSE,"WRSUMMARY";#N/A,#N/A,FALSE,"ANNEX-1";#N/A,#N/A,FALSE,"ANNEX-2";#N/A,#N/A,FALSE,"ANNEX-3";#N/A,#N/A,FALSE,"WORKING"}</definedName>
    <definedName name="BD" localSheetId="2" hidden="1">#REF!</definedName>
    <definedName name="BD" hidden="1">#REF!</definedName>
    <definedName name="BE" localSheetId="2" hidden="1">#REF!</definedName>
    <definedName name="BE" hidden="1">#REF!</definedName>
    <definedName name="besssssssss" hidden="1">#REF!</definedName>
    <definedName name="BF" hidden="1">#REF!</definedName>
    <definedName name="bfbfdhfdhdfgh" localSheetId="2" hidden="1">{#N/A,#N/A,FALSE,"CCTV"}</definedName>
    <definedName name="bfbfdhfdhdfgh" hidden="1">{#N/A,#N/A,FALSE,"CCTV"}</definedName>
    <definedName name="BG" localSheetId="2" hidden="1">#REF!</definedName>
    <definedName name="BG" hidden="1">#REF!</definedName>
    <definedName name="BH" localSheetId="2" hidden="1">#REF!</definedName>
    <definedName name="BH" hidden="1">#REF!</definedName>
    <definedName name="bhbb" localSheetId="2" hidden="1">{#N/A,#N/A,TRUE,"Front";#N/A,#N/A,TRUE,"Simple Letter";#N/A,#N/A,TRUE,"Inside";#N/A,#N/A,TRUE,"Contents";#N/A,#N/A,TRUE,"Basis";#N/A,#N/A,TRUE,"Inclusions";#N/A,#N/A,TRUE,"Exclusions";#N/A,#N/A,TRUE,"Areas";#N/A,#N/A,TRUE,"Summary";#N/A,#N/A,TRUE,"Detail"}</definedName>
    <definedName name="bhbb" hidden="1">{#N/A,#N/A,TRUE,"Front";#N/A,#N/A,TRUE,"Simple Letter";#N/A,#N/A,TRUE,"Inside";#N/A,#N/A,TRUE,"Contents";#N/A,#N/A,TRUE,"Basis";#N/A,#N/A,TRUE,"Inclusions";#N/A,#N/A,TRUE,"Exclusions";#N/A,#N/A,TRUE,"Areas";#N/A,#N/A,TRUE,"Summary";#N/A,#N/A,TRUE,"Detail"}</definedName>
    <definedName name="biiiiiiiiii" localSheetId="2" hidden="1">{#N/A,#N/A,TRUE,"Front";#N/A,#N/A,TRUE,"Simple Letter";#N/A,#N/A,TRUE,"Inside";#N/A,#N/A,TRUE,"Contents";#N/A,#N/A,TRUE,"Basis";#N/A,#N/A,TRUE,"Inclusions";#N/A,#N/A,TRUE,"Exclusions";#N/A,#N/A,TRUE,"Areas";#N/A,#N/A,TRUE,"Summary";#N/A,#N/A,TRUE,"Detail"}</definedName>
    <definedName name="biiiiiiiiii" hidden="1">{#N/A,#N/A,TRUE,"Front";#N/A,#N/A,TRUE,"Simple Letter";#N/A,#N/A,TRUE,"Inside";#N/A,#N/A,TRUE,"Contents";#N/A,#N/A,TRUE,"Basis";#N/A,#N/A,TRUE,"Inclusions";#N/A,#N/A,TRUE,"Exclusions";#N/A,#N/A,TRUE,"Areas";#N/A,#N/A,TRUE,"Summary";#N/A,#N/A,TRUE,"Detail"}</definedName>
    <definedName name="Biju" localSheetId="2" hidden="1">{#N/A,#N/A,FALSE,"SumG";#N/A,#N/A,FALSE,"ElecG";#N/A,#N/A,FALSE,"MechG";#N/A,#N/A,FALSE,"GeotG";#N/A,#N/A,FALSE,"PrcsG";#N/A,#N/A,FALSE,"TunnG";#N/A,#N/A,FALSE,"CivlG";#N/A,#N/A,FALSE,"NtwkG";#N/A,#N/A,FALSE,"EstgG";#N/A,#N/A,FALSE,"PEngG"}</definedName>
    <definedName name="Biju" hidden="1">{#N/A,#N/A,FALSE,"SumG";#N/A,#N/A,FALSE,"ElecG";#N/A,#N/A,FALSE,"MechG";#N/A,#N/A,FALSE,"GeotG";#N/A,#N/A,FALSE,"PrcsG";#N/A,#N/A,FALSE,"TunnG";#N/A,#N/A,FALSE,"CivlG";#N/A,#N/A,FALSE,"NtwkG";#N/A,#N/A,FALSE,"EstgG";#N/A,#N/A,FALSE,"PEngG"}</definedName>
    <definedName name="bill2" localSheetId="2" hidden="1">{"Bill 3.2",#N/A,FALSE,"BILLS"}</definedName>
    <definedName name="bill2" hidden="1">{"Bill 3.2",#N/A,FALSE,"BILLS"}</definedName>
    <definedName name="BJ" localSheetId="2" hidden="1">#REF!</definedName>
    <definedName name="BJ" hidden="1">#REF!</definedName>
    <definedName name="bjhj" localSheetId="2" hidden="1">{#N/A,#N/A,TRUE,"Front";#N/A,#N/A,TRUE,"Simple Letter";#N/A,#N/A,TRUE,"Inside";#N/A,#N/A,TRUE,"Contents";#N/A,#N/A,TRUE,"Basis";#N/A,#N/A,TRUE,"Inclusions";#N/A,#N/A,TRUE,"Exclusions";#N/A,#N/A,TRUE,"Areas";#N/A,#N/A,TRUE,"Summary";#N/A,#N/A,TRUE,"Detail"}</definedName>
    <definedName name="bjhj" hidden="1">{#N/A,#N/A,TRUE,"Front";#N/A,#N/A,TRUE,"Simple Letter";#N/A,#N/A,TRUE,"Inside";#N/A,#N/A,TRUE,"Contents";#N/A,#N/A,TRUE,"Basis";#N/A,#N/A,TRUE,"Inclusions";#N/A,#N/A,TRUE,"Exclusions";#N/A,#N/A,TRUE,"Areas";#N/A,#N/A,TRUE,"Summary";#N/A,#N/A,TRUE,"Detail"}</definedName>
    <definedName name="BLOCKC" hidden="1">#REF!</definedName>
    <definedName name="BM" localSheetId="2" hidden="1">{#N/A,#N/A,FALSE,"CCTV"}</definedName>
    <definedName name="BM" hidden="1">{#N/A,#N/A,FALSE,"CCTV"}</definedName>
    <definedName name="BNHJB" localSheetId="2" hidden="1">{#N/A,#N/A,TRUE,"Front";#N/A,#N/A,TRUE,"Simple Letter";#N/A,#N/A,TRUE,"Inside";#N/A,#N/A,TRUE,"Contents";#N/A,#N/A,TRUE,"Basis";#N/A,#N/A,TRUE,"Inclusions";#N/A,#N/A,TRUE,"Exclusions";#N/A,#N/A,TRUE,"Areas";#N/A,#N/A,TRUE,"Summary";#N/A,#N/A,TRUE,"Detail"}</definedName>
    <definedName name="BNHJB" hidden="1">{#N/A,#N/A,TRUE,"Front";#N/A,#N/A,TRUE,"Simple Letter";#N/A,#N/A,TRUE,"Inside";#N/A,#N/A,TRUE,"Contents";#N/A,#N/A,TRUE,"Basis";#N/A,#N/A,TRUE,"Inclusions";#N/A,#N/A,TRUE,"Exclusions";#N/A,#N/A,TRUE,"Areas";#N/A,#N/A,TRUE,"Summary";#N/A,#N/A,TRUE,"Detail"}</definedName>
    <definedName name="BNMH" localSheetId="2" hidden="1">{#N/A,#N/A,FALSE,"CCTV"}</definedName>
    <definedName name="BNMH" hidden="1">{#N/A,#N/A,FALSE,"CCTV"}</definedName>
    <definedName name="bob" localSheetId="2" hidden="1">{#N/A,#N/A,FALSE,"CCTV"}</definedName>
    <definedName name="bob" hidden="1">{#N/A,#N/A,FALSE,"CCTV"}</definedName>
    <definedName name="BOOA2" localSheetId="2" hidden="1">{#N/A,#N/A,FALSE,"估價單  (3)"}</definedName>
    <definedName name="BOOA2" hidden="1">{#N/A,#N/A,FALSE,"估價單  (3)"}</definedName>
    <definedName name="boop" localSheetId="2" hidden="1">{"'Break down'!$A$4"}</definedName>
    <definedName name="boop" hidden="1">{"'Break down'!$A$4"}</definedName>
    <definedName name="break" localSheetId="2" hidden="1">{#N/A,#N/A,FALSE,"RESUMEN ECON.";#N/A,#N/A,FALSE,"Costos de R.H.";#N/A,#N/A,FALSE,"COSTO HW";#N/A,#N/A,FALSE,"CUADROS";#N/A,#N/A,FALSE,"SCADA´s";#N/A,#N/A,FALSE,"PRECIOS EQUIPOS"}</definedName>
    <definedName name="break" hidden="1">{#N/A,#N/A,FALSE,"RESUMEN ECON.";#N/A,#N/A,FALSE,"Costos de R.H.";#N/A,#N/A,FALSE,"COSTO HW";#N/A,#N/A,FALSE,"CUADROS";#N/A,#N/A,FALSE,"SCADA´s";#N/A,#N/A,FALSE,"PRECIOS EQUIPOS"}</definedName>
    <definedName name="bsss" localSheetId="2" hidden="1">{"'M'!$C$12:$D$12"}</definedName>
    <definedName name="bsss" hidden="1">{"'M'!$C$12:$D$12"}</definedName>
    <definedName name="BV" hidden="1">#REF!</definedName>
    <definedName name="bvcxb" localSheetId="2" hidden="1">{#N/A,#N/A,FALSE,"估價單  (3)"}</definedName>
    <definedName name="bvcxb" hidden="1">{#N/A,#N/A,FALSE,"估價單  (3)"}</definedName>
    <definedName name="bvfg" localSheetId="2" hidden="1">{#N/A,#N/A,TRUE,"Front";#N/A,#N/A,TRUE,"Simple Letter";#N/A,#N/A,TRUE,"Inside";#N/A,#N/A,TRUE,"Contents";#N/A,#N/A,TRUE,"Basis";#N/A,#N/A,TRUE,"Inclusions";#N/A,#N/A,TRUE,"Exclusions";#N/A,#N/A,TRUE,"Areas";#N/A,#N/A,TRUE,"Summary";#N/A,#N/A,TRUE,"Detail"}</definedName>
    <definedName name="bvfg" hidden="1">{#N/A,#N/A,TRUE,"Front";#N/A,#N/A,TRUE,"Simple Letter";#N/A,#N/A,TRUE,"Inside";#N/A,#N/A,TRUE,"Contents";#N/A,#N/A,TRUE,"Basis";#N/A,#N/A,TRUE,"Inclusions";#N/A,#N/A,TRUE,"Exclusions";#N/A,#N/A,TRUE,"Areas";#N/A,#N/A,TRUE,"Summary";#N/A,#N/A,TRUE,"Detail"}</definedName>
    <definedName name="BVVFCFZC" localSheetId="2" hidden="1">{"'Break down'!$A$4"}</definedName>
    <definedName name="BVVFCFZC" hidden="1">{"'Break down'!$A$4"}</definedName>
    <definedName name="Cable" localSheetId="2" hidden="1">{"b",#N/A,FALSE,"B";"C 1",#N/A,FALSE,"C";"C 2",#N/A,FALSE,"C";"D 1",#N/A,FALSE,"D";"d 2",#N/A,FALSE,"D";"D 3",#N/A,FALSE,"D";"E",#N/A,FALSE,"E";"F 1",#N/A,FALSE,"F";"F 2",#N/A,FALSE,"F";"F 3",#N/A,FALSE,"F";"G 1",#N/A,FALSE,"G";"G 2",#N/A,FALSE,"G";"I 1",#N/A,FALSE,"I";"J 1",#N/A,FALSE,"J";"J 2",#N/A,FALSE,"J";"L",#N/A,FALSE,"L";"M 1",#N/A,FALSE,"M";"N",#N/A,FALSE,"N"}</definedName>
    <definedName name="Cable" hidden="1">{"b",#N/A,FALSE,"B";"C 1",#N/A,FALSE,"C";"C 2",#N/A,FALSE,"C";"D 1",#N/A,FALSE,"D";"d 2",#N/A,FALSE,"D";"D 3",#N/A,FALSE,"D";"E",#N/A,FALSE,"E";"F 1",#N/A,FALSE,"F";"F 2",#N/A,FALSE,"F";"F 3",#N/A,FALSE,"F";"G 1",#N/A,FALSE,"G";"G 2",#N/A,FALSE,"G";"I 1",#N/A,FALSE,"I";"J 1",#N/A,FALSE,"J";"J 2",#N/A,FALSE,"J";"L",#N/A,FALSE,"L";"M 1",#N/A,FALSE,"M";"N",#N/A,FALSE,"N"}</definedName>
    <definedName name="cashfl" localSheetId="2" hidden="1">{#N/A,#N/A,TRUE,"Cover";#N/A,#N/A,TRUE,"Conts";#N/A,#N/A,TRUE,"VOS";#N/A,#N/A,TRUE,"Warrington";#N/A,#N/A,TRUE,"Widnes"}</definedName>
    <definedName name="cashfl" hidden="1">{#N/A,#N/A,TRUE,"Cover";#N/A,#N/A,TRUE,"Conts";#N/A,#N/A,TRUE,"VOS";#N/A,#N/A,TRUE,"Warrington";#N/A,#N/A,TRUE,"Widnes"}</definedName>
    <definedName name="Casual" hidden="1">#REF!</definedName>
    <definedName name="CATS.Project" hidden="1">"A1141D"</definedName>
    <definedName name="ccc" localSheetId="2" hidden="1">{#N/A,#N/A,FALSE,"RESUMEN ECON.";#N/A,#N/A,FALSE,"Costos de R.H.";#N/A,#N/A,FALSE,"COSTO HW";#N/A,#N/A,FALSE,"CUADROS";#N/A,#N/A,FALSE,"SCADA´s";#N/A,#N/A,FALSE,"PRECIOS EQUIPOS"}</definedName>
    <definedName name="ccc" hidden="1">{#N/A,#N/A,FALSE,"SumD";#N/A,#N/A,FALSE,"ElecD";#N/A,#N/A,FALSE,"MechD";#N/A,#N/A,FALSE,"GeotD";#N/A,#N/A,FALSE,"PrcsD";#N/A,#N/A,FALSE,"TunnD";#N/A,#N/A,FALSE,"CivlD";#N/A,#N/A,FALSE,"NtwkD";#N/A,#N/A,FALSE,"EstgD";#N/A,#N/A,FALSE,"PEngD"}</definedName>
    <definedName name="cccccc" localSheetId="2" hidden="1">{#N/A,#N/A,TRUE,"Cover";#N/A,#N/A,TRUE,"Conts";#N/A,#N/A,TRUE,"VOS";#N/A,#N/A,TRUE,"Warrington";#N/A,#N/A,TRUE,"Widnes"}</definedName>
    <definedName name="cccccc" hidden="1">{#N/A,#N/A,TRUE,"Cover";#N/A,#N/A,TRUE,"Conts";#N/A,#N/A,TRUE,"VOS";#N/A,#N/A,TRUE,"Warrington";#N/A,#N/A,TRUE,"Widnes"}</definedName>
    <definedName name="CCR" localSheetId="2" hidden="1">{#N/A,#N/A,TRUE,"Cover";#N/A,#N/A,TRUE,"Conts";#N/A,#N/A,TRUE,"VOS";#N/A,#N/A,TRUE,"Warrington";#N/A,#N/A,TRUE,"Widnes"}</definedName>
    <definedName name="CCR" hidden="1">{#N/A,#N/A,TRUE,"Cover";#N/A,#N/A,TRUE,"Conts";#N/A,#N/A,TRUE,"VOS";#N/A,#N/A,TRUE,"Warrington";#N/A,#N/A,TRUE,"Widnes"}</definedName>
    <definedName name="CCT" localSheetId="2" hidden="1">{"cost",#N/A,FALSE,"B";"Sum",#N/A,FALSE,"C";"Sal1",#N/A,FALSE,"D";"Sal2",#N/A,FALSE,"D";"Mob",#N/A,FALSE,"E";"Eqpcst1",#N/A,FALSE,"F";"Eqpcst2",#N/A,FALSE,"F";"Eqpcst3",#N/A,FALSE,"F";"Est1",#N/A,FALSE,"G";"Est2",#N/A,FALSE,"G";"Fin",#N/A,FALSE,"H";"EqpCal",#N/A,FALSE,"I";"ManCal1",#N/A,FALSE,"J";"ManCal2",#N/A,FALSE,"J";"Consm",#N/A,FALSE,"L";"B O",#N/A,FALSE,"M";"S C",#N/A,FALSE,"N"}</definedName>
    <definedName name="CCT" hidden="1">{"cost",#N/A,FALSE,"B";"Sum",#N/A,FALSE,"C";"Sal1",#N/A,FALSE,"D";"Sal2",#N/A,FALSE,"D";"Mob",#N/A,FALSE,"E";"Eqpcst1",#N/A,FALSE,"F";"Eqpcst2",#N/A,FALSE,"F";"Eqpcst3",#N/A,FALSE,"F";"Est1",#N/A,FALSE,"G";"Est2",#N/A,FALSE,"G";"Fin",#N/A,FALSE,"H";"EqpCal",#N/A,FALSE,"I";"ManCal1",#N/A,FALSE,"J";"ManCal2",#N/A,FALSE,"J";"Consm",#N/A,FALSE,"L";"B O",#N/A,FALSE,"M";"S C",#N/A,FALSE,"N"}</definedName>
    <definedName name="CD" localSheetId="2" hidden="1">#REF!</definedName>
    <definedName name="CD" hidden="1">#REF!</definedName>
    <definedName name="CENTER" hidden="1">#REF!</definedName>
    <definedName name="CFS" localSheetId="2" hidden="1">{#N/A,#N/A,TRUE,"Cover";#N/A,#N/A,TRUE,"Conts";#N/A,#N/A,TRUE,"VOS";#N/A,#N/A,TRUE,"Warrington";#N/A,#N/A,TRUE,"Widnes"}</definedName>
    <definedName name="CFS" hidden="1">{#N/A,#N/A,TRUE,"Cover";#N/A,#N/A,TRUE,"Conts";#N/A,#N/A,TRUE,"VOS";#N/A,#N/A,TRUE,"Warrington";#N/A,#N/A,TRUE,"Widnes"}</definedName>
    <definedName name="chen" localSheetId="2" hidden="1">#REF!</definedName>
    <definedName name="chen" hidden="1">#REF!</definedName>
    <definedName name="chris" localSheetId="2" hidden="1">{#N/A,#N/A,TRUE,"Cover";#N/A,#N/A,TRUE,"Conts";#N/A,#N/A,TRUE,"VOS";#N/A,#N/A,TRUE,"Warrington";#N/A,#N/A,TRUE,"Widnes"}</definedName>
    <definedName name="chris" hidden="1">{#N/A,#N/A,TRUE,"Cover";#N/A,#N/A,TRUE,"Conts";#N/A,#N/A,TRUE,"VOS";#N/A,#N/A,TRUE,"Warrington";#N/A,#N/A,TRUE,"Widnes"}</definedName>
    <definedName name="civil" hidden="1">{#N/A,#N/A,TRUE,"Front";#N/A,#N/A,TRUE,"Simple Letter";#N/A,#N/A,TRUE,"Inside";#N/A,#N/A,TRUE,"Contents";#N/A,#N/A,TRUE,"Basis";#N/A,#N/A,TRUE,"Inclusions";#N/A,#N/A,TRUE,"Exclusions";#N/A,#N/A,TRUE,"Areas";#N/A,#N/A,TRUE,"Summary";#N/A,#N/A,TRUE,"Detail"}</definedName>
    <definedName name="CIVIL." localSheetId="2" hidden="1">{#N/A,#N/A,TRUE,"Front";#N/A,#N/A,TRUE,"Simple Letter";#N/A,#N/A,TRUE,"Inside";#N/A,#N/A,TRUE,"Contents";#N/A,#N/A,TRUE,"Basis";#N/A,#N/A,TRUE,"Inclusions";#N/A,#N/A,TRUE,"Exclusions";#N/A,#N/A,TRUE,"Areas";#N/A,#N/A,TRUE,"Summary";#N/A,#N/A,TRUE,"Detail"}</definedName>
    <definedName name="CIVIL." hidden="1">{#N/A,#N/A,TRUE,"Front";#N/A,#N/A,TRUE,"Simple Letter";#N/A,#N/A,TRUE,"Inside";#N/A,#N/A,TRUE,"Contents";#N/A,#N/A,TRUE,"Basis";#N/A,#N/A,TRUE,"Inclusions";#N/A,#N/A,TRUE,"Exclusions";#N/A,#N/A,TRUE,"Areas";#N/A,#N/A,TRUE,"Summary";#N/A,#N/A,TRUE,"Detail"}</definedName>
    <definedName name="Code" hidden="1">#REF!</definedName>
    <definedName name="Com" localSheetId="2" hidden="1">{#N/A,#N/A,TRUE,"Cover";#N/A,#N/A,TRUE,"Conts";#N/A,#N/A,TRUE,"VOS";#N/A,#N/A,TRUE,"Warrington";#N/A,#N/A,TRUE,"Widnes"}</definedName>
    <definedName name="Com" hidden="1">{#N/A,#N/A,TRUE,"Cover";#N/A,#N/A,TRUE,"Conts";#N/A,#N/A,TRUE,"VOS";#N/A,#N/A,TRUE,"Warrington";#N/A,#N/A,TRUE,"Widnes"}</definedName>
    <definedName name="CON" localSheetId="2" hidden="1">{#N/A,#N/A,TRUE,"Cover";#N/A,#N/A,TRUE,"Conts";#N/A,#N/A,TRUE,"VOS";#N/A,#N/A,TRUE,"Warrington";#N/A,#N/A,TRUE,"Widnes"}</definedName>
    <definedName name="CON" hidden="1">{#N/A,#N/A,TRUE,"Cover";#N/A,#N/A,TRUE,"Conts";#N/A,#N/A,TRUE,"VOS";#N/A,#N/A,TRUE,"Warrington";#N/A,#N/A,TRUE,"Widnes"}</definedName>
    <definedName name="CONCOURSE" localSheetId="2" hidden="1">{#N/A,#N/A,TRUE,"Cover";#N/A,#N/A,TRUE,"Conts";#N/A,#N/A,TRUE,"VOS";#N/A,#N/A,TRUE,"Warrington";#N/A,#N/A,TRUE,"Widnes"}</definedName>
    <definedName name="CONCOURSE" hidden="1">{#N/A,#N/A,TRUE,"Cover";#N/A,#N/A,TRUE,"Conts";#N/A,#N/A,TRUE,"VOS";#N/A,#N/A,TRUE,"Warrington";#N/A,#N/A,TRUE,"Widnes"}</definedName>
    <definedName name="copin" localSheetId="2" hidden="1">{#N/A,#N/A,TRUE,"RESUMEN ECON.";#N/A,#N/A,TRUE,"Costos de R.H.";#N/A,#N/A,TRUE,"COSTO HW";#N/A,#N/A,TRUE,"CUADROS";#N/A,#N/A,TRUE,"SCADA´s";#N/A,#N/A,TRUE,"PRECIOS EQUIPOS"}</definedName>
    <definedName name="copin" hidden="1">{#N/A,#N/A,TRUE,"RESUMEN ECON.";#N/A,#N/A,TRUE,"Costos de R.H.";#N/A,#N/A,TRUE,"COSTO HW";#N/A,#N/A,TRUE,"CUADROS";#N/A,#N/A,TRUE,"SCADA´s";#N/A,#N/A,TRUE,"PRECIOS EQUIPOS"}</definedName>
    <definedName name="copon" localSheetId="2" hidden="1">{#N/A,#N/A,FALSE,"RESUMEN ECON.";#N/A,#N/A,FALSE,"Costos de R.H.";#N/A,#N/A,FALSE,"COSTO HW";#N/A,#N/A,FALSE,"CUADROS";#N/A,#N/A,FALSE,"SCADA´s";#N/A,#N/A,FALSE,"PRECIOS EQUIPOS"}</definedName>
    <definedName name="copon" hidden="1">{#N/A,#N/A,FALSE,"RESUMEN ECON.";#N/A,#N/A,FALSE,"Costos de R.H.";#N/A,#N/A,FALSE,"COSTO HW";#N/A,#N/A,FALSE,"CUADROS";#N/A,#N/A,FALSE,"SCADA´s";#N/A,#N/A,FALSE,"PRECIOS EQUIPOS"}</definedName>
    <definedName name="crsr" localSheetId="2" hidden="1">#REF!</definedName>
    <definedName name="crsr" hidden="1">#REF!</definedName>
    <definedName name="crsr1" localSheetId="2" hidden="1">#REF!</definedName>
    <definedName name="crsr1" hidden="1">#REF!</definedName>
    <definedName name="crsr2" localSheetId="2" hidden="1">#REF!</definedName>
    <definedName name="crsr2" hidden="1">#REF!</definedName>
    <definedName name="crsr3" localSheetId="2" hidden="1">#REF!</definedName>
    <definedName name="crsr3" hidden="1">#REF!</definedName>
    <definedName name="d_jp" localSheetId="2" hidden="1">{"'Sheet1'!$A$4386:$N$4591"}</definedName>
    <definedName name="d_jp" hidden="1">{"'Sheet1'!$A$4386:$N$4591"}</definedName>
    <definedName name="dada" localSheetId="2" hidden="1">{#N/A,#N/A,TRUE,"Cover";#N/A,#N/A,TRUE,"Conts";#N/A,#N/A,TRUE,"VOS";#N/A,#N/A,TRUE,"Warrington";#N/A,#N/A,TRUE,"Widnes"}</definedName>
    <definedName name="dada" hidden="1">{#N/A,#N/A,TRUE,"Cover";#N/A,#N/A,TRUE,"Conts";#N/A,#N/A,TRUE,"VOS";#N/A,#N/A,TRUE,"Warrington";#N/A,#N/A,TRUE,"Widnes"}</definedName>
    <definedName name="dasd" localSheetId="2" hidden="1">{"'Bill No. 7'!$A$1:$G$32"}</definedName>
    <definedName name="dasd" hidden="1">{"'Bill No. 7'!$A$1:$G$32"}</definedName>
    <definedName name="data1" hidden="1">#REF!</definedName>
    <definedName name="data2" hidden="1">#REF!</definedName>
    <definedName name="data3" hidden="1">#REF!</definedName>
    <definedName name="dataww" localSheetId="2" hidden="1">#REF!</definedName>
    <definedName name="dataww" hidden="1">#REF!</definedName>
    <definedName name="dcebmtfggjm" localSheetId="2" hidden="1">{#N/A,#N/A,TRUE,"Front";#N/A,#N/A,TRUE,"Simple Letter";#N/A,#N/A,TRUE,"Inside";#N/A,#N/A,TRUE,"Contents";#N/A,#N/A,TRUE,"Basis";#N/A,#N/A,TRUE,"Inclusions";#N/A,#N/A,TRUE,"Exclusions";#N/A,#N/A,TRUE,"Areas";#N/A,#N/A,TRUE,"Summary";#N/A,#N/A,TRUE,"Detail"}</definedName>
    <definedName name="dcebmtfggjm" hidden="1">{#N/A,#N/A,TRUE,"Front";#N/A,#N/A,TRUE,"Simple Letter";#N/A,#N/A,TRUE,"Inside";#N/A,#N/A,TRUE,"Contents";#N/A,#N/A,TRUE,"Basis";#N/A,#N/A,TRUE,"Inclusions";#N/A,#N/A,TRUE,"Exclusions";#N/A,#N/A,TRUE,"Areas";#N/A,#N/A,TRUE,"Summary";#N/A,#N/A,TRUE,"Detail"}</definedName>
    <definedName name="DCI" localSheetId="2" hidden="1">{#N/A,#N/A,TRUE,"Front";#N/A,#N/A,TRUE,"Simple Letter";#N/A,#N/A,TRUE,"Inside";#N/A,#N/A,TRUE,"Contents";#N/A,#N/A,TRUE,"Basis";#N/A,#N/A,TRUE,"Inclusions";#N/A,#N/A,TRUE,"Exclusions";#N/A,#N/A,TRUE,"Areas";#N/A,#N/A,TRUE,"Summary";#N/A,#N/A,TRUE,"Detail"}</definedName>
    <definedName name="DCI" hidden="1">{#N/A,#N/A,TRUE,"Front";#N/A,#N/A,TRUE,"Simple Letter";#N/A,#N/A,TRUE,"Inside";#N/A,#N/A,TRUE,"Contents";#N/A,#N/A,TRUE,"Basis";#N/A,#N/A,TRUE,"Inclusions";#N/A,#N/A,TRUE,"Exclusions";#N/A,#N/A,TRUE,"Areas";#N/A,#N/A,TRUE,"Summary";#N/A,#N/A,TRUE,"Detail"}</definedName>
    <definedName name="DCZXCZ" localSheetId="2" hidden="1">{"'Break down'!$A$4"}</definedName>
    <definedName name="DCZXCZ" hidden="1">{"'Break down'!$A$4"}</definedName>
    <definedName name="dd" hidden="1">{#N/A,#N/A,TRUE,"Cover";#N/A,#N/A,TRUE,"Conts";#N/A,#N/A,TRUE,"VOS";#N/A,#N/A,TRUE,"Warrington";#N/A,#N/A,TRUE,"Widnes"}</definedName>
    <definedName name="ddddd" localSheetId="2" hidden="1">{#N/A,#N/A,FALSE,"SumD";#N/A,#N/A,FALSE,"ElecD";#N/A,#N/A,FALSE,"MechD";#N/A,#N/A,FALSE,"GeotD";#N/A,#N/A,FALSE,"PrcsD";#N/A,#N/A,FALSE,"TunnD";#N/A,#N/A,FALSE,"CivlD";#N/A,#N/A,FALSE,"NtwkD";#N/A,#N/A,FALSE,"EstgD";#N/A,#N/A,FALSE,"PEngD"}</definedName>
    <definedName name="ddddd" hidden="1">{#N/A,#N/A,TRUE,"Cover";#N/A,#N/A,TRUE,"Conts";#N/A,#N/A,TRUE,"VOS";#N/A,#N/A,TRUE,"Warrington";#N/A,#N/A,TRUE,"Widnes"}</definedName>
    <definedName name="dddt" localSheetId="2" hidden="1">{"'Break down'!$A$4"}</definedName>
    <definedName name="dddt" hidden="1">{"'Break down'!$A$4"}</definedName>
    <definedName name="DDFD" localSheetId="2" hidden="1">{#N/A,#N/A,FALSE,"CCTV"}</definedName>
    <definedName name="DDFD" hidden="1">{#N/A,#N/A,FALSE,"CCTV"}</definedName>
    <definedName name="de" hidden="1">#REF!</definedName>
    <definedName name="deade" localSheetId="2" hidden="1">{#N/A,#N/A,TRUE,"Front";#N/A,#N/A,TRUE,"Simple Letter";#N/A,#N/A,TRUE,"Inside";#N/A,#N/A,TRUE,"Contents";#N/A,#N/A,TRUE,"Basis";#N/A,#N/A,TRUE,"Inclusions";#N/A,#N/A,TRUE,"Exclusions";#N/A,#N/A,TRUE,"Areas";#N/A,#N/A,TRUE,"Summary";#N/A,#N/A,TRUE,"Detail"}</definedName>
    <definedName name="deade" hidden="1">{#N/A,#N/A,TRUE,"Front";#N/A,#N/A,TRUE,"Simple Letter";#N/A,#N/A,TRUE,"Inside";#N/A,#N/A,TRUE,"Contents";#N/A,#N/A,TRUE,"Basis";#N/A,#N/A,TRUE,"Inclusions";#N/A,#N/A,TRUE,"Exclusions";#N/A,#N/A,TRUE,"Areas";#N/A,#N/A,TRUE,"Summary";#N/A,#N/A,TRUE,"Detail"}</definedName>
    <definedName name="DEBRIS" localSheetId="2" hidden="1">{#N/A,#N/A,TRUE,"Front";#N/A,#N/A,TRUE,"Simple Letter";#N/A,#N/A,TRUE,"Inside";#N/A,#N/A,TRUE,"Contents";#N/A,#N/A,TRUE,"Basis";#N/A,#N/A,TRUE,"Inclusions";#N/A,#N/A,TRUE,"Exclusions";#N/A,#N/A,TRUE,"Areas";#N/A,#N/A,TRUE,"Summary";#N/A,#N/A,TRUE,"Detail"}</definedName>
    <definedName name="DEBRIS" hidden="1">{#N/A,#N/A,TRUE,"Front";#N/A,#N/A,TRUE,"Simple Letter";#N/A,#N/A,TRUE,"Inside";#N/A,#N/A,TRUE,"Contents";#N/A,#N/A,TRUE,"Basis";#N/A,#N/A,TRUE,"Inclusions";#N/A,#N/A,TRUE,"Exclusions";#N/A,#N/A,TRUE,"Areas";#N/A,#N/A,TRUE,"Summary";#N/A,#N/A,TRUE,"Detail"}</definedName>
    <definedName name="Delux" localSheetId="2" hidden="1">#REF!</definedName>
    <definedName name="Delux" hidden="1">#REF!</definedName>
    <definedName name="depart" localSheetId="2" hidden="1">{"'Sheet1'!$A$4386:$N$4591"}</definedName>
    <definedName name="depart" hidden="1">{"'Sheet1'!$A$4386:$N$4591"}</definedName>
    <definedName name="dfay" hidden="1">#REF!</definedName>
    <definedName name="dfde" localSheetId="2" hidden="1">#REF!</definedName>
    <definedName name="dfde" hidden="1">#REF!</definedName>
    <definedName name="dfdfs" localSheetId="2" hidden="1">{"'Sheet1'!$A$4386:$N$4591"}</definedName>
    <definedName name="dfdfs" hidden="1">{"'Sheet1'!$A$4386:$N$4591"}</definedName>
    <definedName name="dfds" hidden="1">#REF!</definedName>
    <definedName name="dfffff" localSheetId="2"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2" hidden="1">{#N/A,#N/A,TRUE,"Cover";#N/A,#N/A,TRUE,"Conts";#N/A,#N/A,TRUE,"VOS";#N/A,#N/A,TRUE,"Warrington";#N/A,#N/A,TRUE,"Widnes"}</definedName>
    <definedName name="dfgd" hidden="1">{#N/A,#N/A,TRUE,"Cover";#N/A,#N/A,TRUE,"Conts";#N/A,#N/A,TRUE,"VOS";#N/A,#N/A,TRUE,"Warrington";#N/A,#N/A,TRUE,"Widnes"}</definedName>
    <definedName name="dfgfd" localSheetId="2" hidden="1">{#N/A,#N/A,TRUE,"Front";#N/A,#N/A,TRUE,"Simple Letter";#N/A,#N/A,TRUE,"Inside";#N/A,#N/A,TRUE,"Contents";#N/A,#N/A,TRUE,"Basis";#N/A,#N/A,TRUE,"Inclusions";#N/A,#N/A,TRUE,"Exclusions";#N/A,#N/A,TRUE,"Areas";#N/A,#N/A,TRUE,"Summary";#N/A,#N/A,TRUE,"Detail"}</definedName>
    <definedName name="dfgfd" hidden="1">{#N/A,#N/A,TRUE,"Front";#N/A,#N/A,TRUE,"Simple Letter";#N/A,#N/A,TRUE,"Inside";#N/A,#N/A,TRUE,"Contents";#N/A,#N/A,TRUE,"Basis";#N/A,#N/A,TRUE,"Inclusions";#N/A,#N/A,TRUE,"Exclusions";#N/A,#N/A,TRUE,"Areas";#N/A,#N/A,TRUE,"Summary";#N/A,#N/A,TRUE,"Detail"}</definedName>
    <definedName name="dfgsdfg" localSheetId="2" hidden="1">{#N/A,#N/A,TRUE,"Front";#N/A,#N/A,TRUE,"Simple Letter";#N/A,#N/A,TRUE,"Inside";#N/A,#N/A,TRUE,"Contents";#N/A,#N/A,TRUE,"Basis";#N/A,#N/A,TRUE,"Inclusions";#N/A,#N/A,TRUE,"Exclusions";#N/A,#N/A,TRUE,"Areas";#N/A,#N/A,TRUE,"Summary";#N/A,#N/A,TRUE,"Detail"}</definedName>
    <definedName name="dfgsdfg" hidden="1">{#N/A,#N/A,TRUE,"Front";#N/A,#N/A,TRUE,"Simple Letter";#N/A,#N/A,TRUE,"Inside";#N/A,#N/A,TRUE,"Contents";#N/A,#N/A,TRUE,"Basis";#N/A,#N/A,TRUE,"Inclusions";#N/A,#N/A,TRUE,"Exclusions";#N/A,#N/A,TRUE,"Areas";#N/A,#N/A,TRUE,"Summary";#N/A,#N/A,TRUE,"Detail"}</definedName>
    <definedName name="DFGTAETETYER" localSheetId="2" hidden="1">{"'Break down'!$A$4"}</definedName>
    <definedName name="DFGTAETETYER" hidden="1">{"'Break down'!$A$4"}</definedName>
    <definedName name="dfmlksfasn" localSheetId="2" hidden="1">{#N/A,#N/A,TRUE,"Front";#N/A,#N/A,TRUE,"Simple Letter";#N/A,#N/A,TRUE,"Inside";#N/A,#N/A,TRUE,"Contents";#N/A,#N/A,TRUE,"Basis";#N/A,#N/A,TRUE,"Inclusions";#N/A,#N/A,TRUE,"Exclusions";#N/A,#N/A,TRUE,"Areas";#N/A,#N/A,TRUE,"Summary";#N/A,#N/A,TRUE,"Detail"}</definedName>
    <definedName name="dfmlksfasn" hidden="1">{#N/A,#N/A,TRUE,"Front";#N/A,#N/A,TRUE,"Simple Letter";#N/A,#N/A,TRUE,"Inside";#N/A,#N/A,TRUE,"Contents";#N/A,#N/A,TRUE,"Basis";#N/A,#N/A,TRUE,"Inclusions";#N/A,#N/A,TRUE,"Exclusions";#N/A,#N/A,TRUE,"Areas";#N/A,#N/A,TRUE,"Summary";#N/A,#N/A,TRUE,"Detail"}</definedName>
    <definedName name="dfsg" localSheetId="2" hidden="1">{#N/A,#N/A,FALSE,"估價單  (3)"}</definedName>
    <definedName name="dfsg" hidden="1">{#N/A,#N/A,FALSE,"估價單  (3)"}</definedName>
    <definedName name="dgdegtrert" localSheetId="2" hidden="1">{#N/A,#N/A,TRUE,"Front";#N/A,#N/A,TRUE,"Simple Letter";#N/A,#N/A,TRUE,"Inside";#N/A,#N/A,TRUE,"Contents";#N/A,#N/A,TRUE,"Basis";#N/A,#N/A,TRUE,"Inclusions";#N/A,#N/A,TRUE,"Exclusions";#N/A,#N/A,TRUE,"Areas";#N/A,#N/A,TRUE,"Summary";#N/A,#N/A,TRUE,"Detail"}</definedName>
    <definedName name="dgdegtrert" hidden="1">{#N/A,#N/A,TRUE,"Front";#N/A,#N/A,TRUE,"Simple Letter";#N/A,#N/A,TRUE,"Inside";#N/A,#N/A,TRUE,"Contents";#N/A,#N/A,TRUE,"Basis";#N/A,#N/A,TRUE,"Inclusions";#N/A,#N/A,TRUE,"Exclusions";#N/A,#N/A,TRUE,"Areas";#N/A,#N/A,TRUE,"Summary";#N/A,#N/A,TRUE,"Detail"}</definedName>
    <definedName name="dgdryertyery" localSheetId="2" hidden="1">{#N/A,#N/A,TRUE,"Front";#N/A,#N/A,TRUE,"Simple Letter";#N/A,#N/A,TRUE,"Inside";#N/A,#N/A,TRUE,"Contents";#N/A,#N/A,TRUE,"Basis";#N/A,#N/A,TRUE,"Inclusions";#N/A,#N/A,TRUE,"Exclusions";#N/A,#N/A,TRUE,"Areas";#N/A,#N/A,TRUE,"Summary";#N/A,#N/A,TRUE,"Detail"}</definedName>
    <definedName name="dgdryertyery" hidden="1">{#N/A,#N/A,TRUE,"Front";#N/A,#N/A,TRUE,"Simple Letter";#N/A,#N/A,TRUE,"Inside";#N/A,#N/A,TRUE,"Contents";#N/A,#N/A,TRUE,"Basis";#N/A,#N/A,TRUE,"Inclusions";#N/A,#N/A,TRUE,"Exclusions";#N/A,#N/A,TRUE,"Areas";#N/A,#N/A,TRUE,"Summary";#N/A,#N/A,TRUE,"Detail"}</definedName>
    <definedName name="dgfd" localSheetId="2"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gfgjgj" localSheetId="2" hidden="1">{#N/A,#N/A,FALSE,"CCTV"}</definedName>
    <definedName name="dgfgjgj" hidden="1">{#N/A,#N/A,FALSE,"CCTV"}</definedName>
    <definedName name="dgfshfj" localSheetId="2" hidden="1">{"'Break down'!$A$4"}</definedName>
    <definedName name="dgfshfj" hidden="1">{"'Break down'!$A$4"}</definedName>
    <definedName name="dggd" localSheetId="2" hidden="1">{#N/A,#N/A,TRUE,"Front";#N/A,#N/A,TRUE,"Simple Letter";#N/A,#N/A,TRUE,"Inside";#N/A,#N/A,TRUE,"Contents";#N/A,#N/A,TRUE,"Basis";#N/A,#N/A,TRUE,"Inclusions";#N/A,#N/A,TRUE,"Exclusions";#N/A,#N/A,TRUE,"Areas";#N/A,#N/A,TRUE,"Summary";#N/A,#N/A,TRUE,"Detail"}</definedName>
    <definedName name="dggd" hidden="1">{#N/A,#N/A,TRUE,"Front";#N/A,#N/A,TRUE,"Simple Letter";#N/A,#N/A,TRUE,"Inside";#N/A,#N/A,TRUE,"Contents";#N/A,#N/A,TRUE,"Basis";#N/A,#N/A,TRUE,"Inclusions";#N/A,#N/A,TRUE,"Exclusions";#N/A,#N/A,TRUE,"Areas";#N/A,#N/A,TRUE,"Summary";#N/A,#N/A,TRUE,"Detail"}</definedName>
    <definedName name="dghkl" localSheetId="2" hidden="1">{"'Bill No. 7'!$A$1:$G$32"}</definedName>
    <definedName name="dghkl" hidden="1">{"'Bill No. 7'!$A$1:$G$32"}</definedName>
    <definedName name="dhgdf" localSheetId="2" hidden="1">{#N/A,#N/A,TRUE,"Front";#N/A,#N/A,TRUE,"Simple Letter";#N/A,#N/A,TRUE,"Inside";#N/A,#N/A,TRUE,"Contents";#N/A,#N/A,TRUE,"Basis";#N/A,#N/A,TRUE,"Inclusions";#N/A,#N/A,TRUE,"Exclusions";#N/A,#N/A,TRUE,"Areas";#N/A,#N/A,TRUE,"Summary";#N/A,#N/A,TRUE,"Detail"}</definedName>
    <definedName name="dhgdf" hidden="1">{#N/A,#N/A,TRUE,"Front";#N/A,#N/A,TRUE,"Simple Letter";#N/A,#N/A,TRUE,"Inside";#N/A,#N/A,TRUE,"Contents";#N/A,#N/A,TRUE,"Basis";#N/A,#N/A,TRUE,"Inclusions";#N/A,#N/A,TRUE,"Exclusions";#N/A,#N/A,TRUE,"Areas";#N/A,#N/A,TRUE,"Summary";#N/A,#N/A,TRUE,"Detail"}</definedName>
    <definedName name="DHTML" localSheetId="2" hidden="1">{"'Sheet1'!$A$4386:$N$4591"}</definedName>
    <definedName name="DHTML" hidden="1">{"'Sheet1'!$A$4386:$N$4591"}</definedName>
    <definedName name="Discount" hidden="1">#REF!</definedName>
    <definedName name="display_area_2" hidden="1">#REF!</definedName>
    <definedName name="djjii" localSheetId="2" hidden="1">{#N/A,#N/A,TRUE,"Cover";#N/A,#N/A,TRUE,"Conts";#N/A,#N/A,TRUE,"VOS";#N/A,#N/A,TRUE,"Warrington";#N/A,#N/A,TRUE,"Widnes"}</definedName>
    <definedName name="djjii" hidden="1">{#N/A,#N/A,TRUE,"Cover";#N/A,#N/A,TRUE,"Conts";#N/A,#N/A,TRUE,"VOS";#N/A,#N/A,TRUE,"Warrington";#N/A,#N/A,TRUE,"Widnes"}</definedName>
    <definedName name="DL" localSheetId="2" hidden="1">{#N/A,#N/A,FALSE,"이정표"}</definedName>
    <definedName name="DL" hidden="1">{#N/A,#N/A,FALSE,"이정표"}</definedName>
    <definedName name="door" localSheetId="2" hidden="1">{"'Break down'!$A$4"}</definedName>
    <definedName name="door" hidden="1">{"'Break down'!$A$4"}</definedName>
    <definedName name="dosteen" localSheetId="2" hidden="1">{#N/A,#N/A,FALSE,"估價單  (3)"}</definedName>
    <definedName name="dosteen" hidden="1">{#N/A,#N/A,FALSE,"估價單  (3)"}</definedName>
    <definedName name="dpr" localSheetId="2" hidden="1">{"'Sheet1'!$A$4386:$N$4591"}</definedName>
    <definedName name="dpr" hidden="1">{"'Sheet1'!$A$4386:$N$4591"}</definedName>
    <definedName name="drytytuyu" localSheetId="2" hidden="1">{#N/A,#N/A,TRUE,"Cover";#N/A,#N/A,TRUE,"Conts";#N/A,#N/A,TRUE,"VOS";#N/A,#N/A,TRUE,"Warrington";#N/A,#N/A,TRUE,"Widnes"}</definedName>
    <definedName name="drytytuyu" hidden="1">{#N/A,#N/A,TRUE,"Cover";#N/A,#N/A,TRUE,"Conts";#N/A,#N/A,TRUE,"VOS";#N/A,#N/A,TRUE,"Warrington";#N/A,#N/A,TRUE,"Widnes"}</definedName>
    <definedName name="ds" localSheetId="2" hidden="1">{"Cost Summary",#N/A,FALSE,"B";"Cost Detail 1",#N/A,FALSE,"C";"Cost Detail 2",#N/A,FALSE,"C"}</definedName>
    <definedName name="dsadasd" localSheetId="2" hidden="1">{#N/A,#N/A,FALSE,"SumD";#N/A,#N/A,FALSE,"ElecD";#N/A,#N/A,FALSE,"MechD";#N/A,#N/A,FALSE,"GeotD";#N/A,#N/A,FALSE,"PrcsD";#N/A,#N/A,FALSE,"TunnD";#N/A,#N/A,FALSE,"CivlD";#N/A,#N/A,FALSE,"NtwkD";#N/A,#N/A,FALSE,"EstgD";#N/A,#N/A,FALSE,"PEngD"}</definedName>
    <definedName name="dsadasd" hidden="1">{#N/A,#N/A,FALSE,"SumD";#N/A,#N/A,FALSE,"ElecD";#N/A,#N/A,FALSE,"MechD";#N/A,#N/A,FALSE,"GeotD";#N/A,#N/A,FALSE,"PrcsD";#N/A,#N/A,FALSE,"TunnD";#N/A,#N/A,FALSE,"CivlD";#N/A,#N/A,FALSE,"NtwkD";#N/A,#N/A,FALSE,"EstgD";#N/A,#N/A,FALSE,"PEngD"}</definedName>
    <definedName name="dsfc" localSheetId="2" hidden="1">#REF!</definedName>
    <definedName name="dsfc" hidden="1">#REF!</definedName>
    <definedName name="dsfg" localSheetId="2" hidden="1">{#N/A,#N/A,FALSE,"估價單  (3)"}</definedName>
    <definedName name="dsfg" hidden="1">{#N/A,#N/A,FALSE,"估價單  (3)"}</definedName>
    <definedName name="dsfj" hidden="1">#REF!</definedName>
    <definedName name="dsmnfsfn" localSheetId="2" hidden="1">{#N/A,#N/A,TRUE,"Front";#N/A,#N/A,TRUE,"Simple Letter";#N/A,#N/A,TRUE,"Inside";#N/A,#N/A,TRUE,"Contents";#N/A,#N/A,TRUE,"Basis";#N/A,#N/A,TRUE,"Inclusions";#N/A,#N/A,TRUE,"Exclusions";#N/A,#N/A,TRUE,"Areas";#N/A,#N/A,TRUE,"Summary";#N/A,#N/A,TRUE,"Detail"}</definedName>
    <definedName name="dsmnfsfn" hidden="1">{#N/A,#N/A,TRUE,"Front";#N/A,#N/A,TRUE,"Simple Letter";#N/A,#N/A,TRUE,"Inside";#N/A,#N/A,TRUE,"Contents";#N/A,#N/A,TRUE,"Basis";#N/A,#N/A,TRUE,"Inclusions";#N/A,#N/A,TRUE,"Exclusions";#N/A,#N/A,TRUE,"Areas";#N/A,#N/A,TRUE,"Summary";#N/A,#N/A,TRUE,"Detail"}</definedName>
    <definedName name="dtdry" localSheetId="2" hidden="1">{#N/A,#N/A,TRUE,"Cover";#N/A,#N/A,TRUE,"Conts";#N/A,#N/A,TRUE,"VOS";#N/A,#N/A,TRUE,"Warrington";#N/A,#N/A,TRUE,"Widnes"}</definedName>
    <definedName name="dtdry" hidden="1">{#N/A,#N/A,TRUE,"Cover";#N/A,#N/A,TRUE,"Conts";#N/A,#N/A,TRUE,"VOS";#N/A,#N/A,TRUE,"Warrington";#N/A,#N/A,TRUE,"Widnes"}</definedName>
    <definedName name="dthyn" localSheetId="2" hidden="1">{#N/A,#N/A,TRUE,"Front";#N/A,#N/A,TRUE,"Simple Letter";#N/A,#N/A,TRUE,"Inside";#N/A,#N/A,TRUE,"Contents";#N/A,#N/A,TRUE,"Basis";#N/A,#N/A,TRUE,"Inclusions";#N/A,#N/A,TRUE,"Exclusions";#N/A,#N/A,TRUE,"Areas";#N/A,#N/A,TRUE,"Summary";#N/A,#N/A,TRUE,"Detail"}</definedName>
    <definedName name="dthyn" hidden="1">{#N/A,#N/A,TRUE,"Front";#N/A,#N/A,TRUE,"Simple Letter";#N/A,#N/A,TRUE,"Inside";#N/A,#N/A,TRUE,"Contents";#N/A,#N/A,TRUE,"Basis";#N/A,#N/A,TRUE,"Inclusions";#N/A,#N/A,TRUE,"Exclusions";#N/A,#N/A,TRUE,"Areas";#N/A,#N/A,TRUE,"Summary";#N/A,#N/A,TRUE,"Detail"}</definedName>
    <definedName name="dtngn" localSheetId="2" hidden="1">{"'Break down'!$A$4"}</definedName>
    <definedName name="dtngn" hidden="1">{"'Break down'!$A$4"}</definedName>
    <definedName name="dturuthju" localSheetId="2" hidden="1">{#N/A,#N/A,TRUE,"Cover";#N/A,#N/A,TRUE,"Conts";#N/A,#N/A,TRUE,"VOS";#N/A,#N/A,TRUE,"Warrington";#N/A,#N/A,TRUE,"Widnes"}</definedName>
    <definedName name="dturuthju" hidden="1">{#N/A,#N/A,TRUE,"Cover";#N/A,#N/A,TRUE,"Conts";#N/A,#N/A,TRUE,"VOS";#N/A,#N/A,TRUE,"Warrington";#N/A,#N/A,TRUE,"Widnes"}</definedName>
    <definedName name="dueuuiyj" localSheetId="2" hidden="1">{#N/A,#N/A,TRUE,"Cover";#N/A,#N/A,TRUE,"Conts";#N/A,#N/A,TRUE,"VOS";#N/A,#N/A,TRUE,"Warrington";#N/A,#N/A,TRUE,"Widnes"}</definedName>
    <definedName name="dueuuiyj" hidden="1">{#N/A,#N/A,TRUE,"Cover";#N/A,#N/A,TRUE,"Conts";#N/A,#N/A,TRUE,"VOS";#N/A,#N/A,TRUE,"Warrington";#N/A,#N/A,TRUE,"Widnes"}</definedName>
    <definedName name="dvbgf" localSheetId="2"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gyg" localSheetId="2" hidden="1">{#N/A,#N/A,TRUE,"Front";#N/A,#N/A,TRUE,"Simple Letter";#N/A,#N/A,TRUE,"Inside";#N/A,#N/A,TRUE,"Contents";#N/A,#N/A,TRUE,"Basis";#N/A,#N/A,TRUE,"Inclusions";#N/A,#N/A,TRUE,"Exclusions";#N/A,#N/A,TRUE,"Areas";#N/A,#N/A,TRUE,"Summary";#N/A,#N/A,TRUE,"Detail"}</definedName>
    <definedName name="dwgyg" hidden="1">{#N/A,#N/A,TRUE,"Front";#N/A,#N/A,TRUE,"Simple Letter";#N/A,#N/A,TRUE,"Inside";#N/A,#N/A,TRUE,"Contents";#N/A,#N/A,TRUE,"Basis";#N/A,#N/A,TRUE,"Inclusions";#N/A,#N/A,TRUE,"Exclusions";#N/A,#N/A,TRUE,"Areas";#N/A,#N/A,TRUE,"Summary";#N/A,#N/A,TRUE,"Detail"}</definedName>
    <definedName name="DWPRICE" localSheetId="2" hidden="1">#REF!</definedName>
    <definedName name="DWPRICE" hidden="1">#REF!</definedName>
    <definedName name="dydfugfuj" localSheetId="2" hidden="1">{#N/A,#N/A,TRUE,"Cover";#N/A,#N/A,TRUE,"Conts";#N/A,#N/A,TRUE,"VOS";#N/A,#N/A,TRUE,"Warrington";#N/A,#N/A,TRUE,"Widnes"}</definedName>
    <definedName name="dydfugfuj" hidden="1">{#N/A,#N/A,TRUE,"Cover";#N/A,#N/A,TRUE,"Conts";#N/A,#N/A,TRUE,"VOS";#N/A,#N/A,TRUE,"Warrington";#N/A,#N/A,TRUE,"Widnes"}</definedName>
    <definedName name="dyuiuouo" localSheetId="2" hidden="1">{#N/A,#N/A,TRUE,"Cover";#N/A,#N/A,TRUE,"Conts";#N/A,#N/A,TRUE,"VOS";#N/A,#N/A,TRUE,"Warrington";#N/A,#N/A,TRUE,"Widnes"}</definedName>
    <definedName name="dyuiuouo" hidden="1">{#N/A,#N/A,TRUE,"Cover";#N/A,#N/A,TRUE,"Conts";#N/A,#N/A,TRUE,"VOS";#N/A,#N/A,TRUE,"Warrington";#N/A,#N/A,TRUE,"Widnes"}</definedName>
    <definedName name="eagrga" localSheetId="2" hidden="1">{#N/A,#N/A,TRUE,"Cover";#N/A,#N/A,TRUE,"Conts";#N/A,#N/A,TRUE,"VOS";#N/A,#N/A,TRUE,"Warrington";#N/A,#N/A,TRUE,"Widnes"}</definedName>
    <definedName name="eagrga" hidden="1">{#N/A,#N/A,TRUE,"Cover";#N/A,#N/A,TRUE,"Conts";#N/A,#N/A,TRUE,"VOS";#N/A,#N/A,TRUE,"Warrington";#N/A,#N/A,TRUE,"Widnes"}</definedName>
    <definedName name="earth" localSheetId="2" hidden="1">{"'Sheet1'!$A$4386:$N$4591"}</definedName>
    <definedName name="earth" hidden="1">{"'Sheet1'!$A$4386:$N$4591"}</definedName>
    <definedName name="EBRS1" localSheetId="2" hidden="1">#REF!</definedName>
    <definedName name="EBRS1" hidden="1">#REF!</definedName>
    <definedName name="edited" localSheetId="2" hidden="1">{#N/A,#N/A,TRUE,"Front";#N/A,#N/A,TRUE,"Simple Letter";#N/A,#N/A,TRUE,"Inside";#N/A,#N/A,TRUE,"Contents";#N/A,#N/A,TRUE,"Basis";#N/A,#N/A,TRUE,"Inclusions";#N/A,#N/A,TRUE,"Exclusions";#N/A,#N/A,TRUE,"Areas";#N/A,#N/A,TRUE,"Summary";#N/A,#N/A,TRUE,"Detail"}</definedName>
    <definedName name="edited" hidden="1">{#N/A,#N/A,TRUE,"Front";#N/A,#N/A,TRUE,"Simple Letter";#N/A,#N/A,TRUE,"Inside";#N/A,#N/A,TRUE,"Contents";#N/A,#N/A,TRUE,"Basis";#N/A,#N/A,TRUE,"Inclusions";#N/A,#N/A,TRUE,"Exclusions";#N/A,#N/A,TRUE,"Areas";#N/A,#N/A,TRUE,"Summary";#N/A,#N/A,TRUE,"Detail"}</definedName>
    <definedName name="ee" hidden="1">{#N/A,#N/A,TRUE,"Cover";#N/A,#N/A,TRUE,"Conts";#N/A,#N/A,TRUE,"VOS";#N/A,#N/A,TRUE,"Warrington";#N/A,#N/A,TRUE,"Widnes"}</definedName>
    <definedName name="eedrfe" localSheetId="2" hidden="1">{#N/A,#N/A,TRUE,"Front";#N/A,#N/A,TRUE,"Simple Letter";#N/A,#N/A,TRUE,"Inside";#N/A,#N/A,TRUE,"Contents";#N/A,#N/A,TRUE,"Basis";#N/A,#N/A,TRUE,"Inclusions";#N/A,#N/A,TRUE,"Exclusions";#N/A,#N/A,TRUE,"Areas";#N/A,#N/A,TRUE,"Summary";#N/A,#N/A,TRUE,"Detail"}</definedName>
    <definedName name="eedrfe" hidden="1">{#N/A,#N/A,TRUE,"Front";#N/A,#N/A,TRUE,"Simple Letter";#N/A,#N/A,TRUE,"Inside";#N/A,#N/A,TRUE,"Contents";#N/A,#N/A,TRUE,"Basis";#N/A,#N/A,TRUE,"Inclusions";#N/A,#N/A,TRUE,"Exclusions";#N/A,#N/A,TRUE,"Areas";#N/A,#N/A,TRUE,"Summary";#N/A,#N/A,TRUE,"Detail"}</definedName>
    <definedName name="eee" localSheetId="2" hidden="1">{#N/A,#N/A,FALSE,"WRSUMMARY";#N/A,#N/A,FALSE,"ANNEX-1";#N/A,#N/A,FALSE,"ANNEX-2";#N/A,#N/A,FALSE,"ANNEX-3";#N/A,#N/A,FALSE,"WORKING"}</definedName>
    <definedName name="eee" hidden="1">{#N/A,#N/A,FALSE,"WRSUMMARY";#N/A,#N/A,FALSE,"ANNEX-1";#N/A,#N/A,FALSE,"ANNEX-2";#N/A,#N/A,FALSE,"ANNEX-3";#N/A,#N/A,FALSE,"WORKING"}</definedName>
    <definedName name="EEEE" localSheetId="2" hidden="1">{#N/A,#N/A,FALSE,"CCTV"}</definedName>
    <definedName name="EEEE" hidden="1">{#N/A,#N/A,FALSE,"CCTV"}</definedName>
    <definedName name="eeeee" localSheetId="2" hidden="1">{#N/A,#N/A,TRUE,"Cover";#N/A,#N/A,TRUE,"Conts";#N/A,#N/A,TRUE,"VOS";#N/A,#N/A,TRUE,"Warrington";#N/A,#N/A,TRUE,"Widnes"}</definedName>
    <definedName name="eeeee" hidden="1">{#N/A,#N/A,TRUE,"Cover";#N/A,#N/A,TRUE,"Conts";#N/A,#N/A,TRUE,"VOS";#N/A,#N/A,TRUE,"Warrington";#N/A,#N/A,TRUE,"Widnes"}</definedName>
    <definedName name="eeeeeeeeeeeeee" localSheetId="2" hidden="1">{#N/A,#N/A,FALSE,"RESUMEN ECON.";#N/A,#N/A,FALSE,"Costos de R.H.";#N/A,#N/A,FALSE,"COSTO HW";#N/A,#N/A,FALSE,"CUADROS";#N/A,#N/A,FALSE,"SCADA´s";#N/A,#N/A,FALSE,"PRECIOS EQUIPOS"}</definedName>
    <definedName name="eeeeeeeeeeeeee" hidden="1">{#N/A,#N/A,FALSE,"RESUMEN ECON.";#N/A,#N/A,FALSE,"Costos de R.H.";#N/A,#N/A,FALSE,"COSTO HW";#N/A,#N/A,FALSE,"CUADROS";#N/A,#N/A,FALSE,"SCADA´s";#N/A,#N/A,FALSE,"PRECIOS EQUIPOS"}</definedName>
    <definedName name="egag" localSheetId="2" hidden="1">{#N/A,#N/A,TRUE,"Cover";#N/A,#N/A,TRUE,"Conts";#N/A,#N/A,TRUE,"VOS";#N/A,#N/A,TRUE,"Warrington";#N/A,#N/A,TRUE,"Widnes"}</definedName>
    <definedName name="egag" hidden="1">{#N/A,#N/A,TRUE,"Cover";#N/A,#N/A,TRUE,"Conts";#N/A,#N/A,TRUE,"VOS";#N/A,#N/A,TRUE,"Warrington";#N/A,#N/A,TRUE,"Widnes"}</definedName>
    <definedName name="EL" localSheetId="2" hidden="1">#REF!</definedName>
    <definedName name="EL" hidden="1">#REF!</definedName>
    <definedName name="Elango1" localSheetId="2" hidden="1">#REF!</definedName>
    <definedName name="Elango1" hidden="1">#REF!</definedName>
    <definedName name="Ele" localSheetId="2" hidden="1">{"'Break down'!$A$4"}</definedName>
    <definedName name="Ele" hidden="1">{"'Break down'!$A$4"}</definedName>
    <definedName name="elec"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elec"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ELEE" localSheetId="2" hidden="1">{"'Break down'!$A$4"}</definedName>
    <definedName name="ELEE" hidden="1">{"'Break down'!$A$4"}</definedName>
    <definedName name="engjineering" localSheetId="2" hidden="1">{"'con_010'!$A$1:$AN$63"}</definedName>
    <definedName name="engjineering" hidden="1">{"'con_010'!$A$1:$AN$63"}</definedName>
    <definedName name="er" localSheetId="2"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2" hidden="1">{#N/A,#N/A,TRUE,"Cover";#N/A,#N/A,TRUE,"Conts";#N/A,#N/A,TRUE,"VOS";#N/A,#N/A,TRUE,"Warrington";#N/A,#N/A,TRUE,"Widnes"}</definedName>
    <definedName name="ergaghag" hidden="1">{#N/A,#N/A,TRUE,"Cover";#N/A,#N/A,TRUE,"Conts";#N/A,#N/A,TRUE,"VOS";#N/A,#N/A,TRUE,"Warrington";#N/A,#N/A,TRUE,"Widnes"}</definedName>
    <definedName name="ergega" localSheetId="2" hidden="1">{#N/A,#N/A,TRUE,"Cover";#N/A,#N/A,TRUE,"Conts";#N/A,#N/A,TRUE,"VOS";#N/A,#N/A,TRUE,"Warrington";#N/A,#N/A,TRUE,"Widnes"}</definedName>
    <definedName name="ergega" hidden="1">{#N/A,#N/A,TRUE,"Cover";#N/A,#N/A,TRUE,"Conts";#N/A,#N/A,TRUE,"VOS";#N/A,#N/A,TRUE,"Warrington";#N/A,#N/A,TRUE,"Widnes"}</definedName>
    <definedName name="ergtaeg" localSheetId="2" hidden="1">{#N/A,#N/A,TRUE,"Cover";#N/A,#N/A,TRUE,"Conts";#N/A,#N/A,TRUE,"VOS";#N/A,#N/A,TRUE,"Warrington";#N/A,#N/A,TRUE,"Widnes"}</definedName>
    <definedName name="ergtaeg" hidden="1">{#N/A,#N/A,TRUE,"Cover";#N/A,#N/A,TRUE,"Conts";#N/A,#N/A,TRUE,"VOS";#N/A,#N/A,TRUE,"Warrington";#N/A,#N/A,TRUE,"Widnes"}</definedName>
    <definedName name="ERKGNRR" localSheetId="2" hidden="1">{#N/A,#N/A,TRUE,"Front";#N/A,#N/A,TRUE,"Simple Letter";#N/A,#N/A,TRUE,"Inside";#N/A,#N/A,TRUE,"Contents";#N/A,#N/A,TRUE,"Basis";#N/A,#N/A,TRUE,"Inclusions";#N/A,#N/A,TRUE,"Exclusions";#N/A,#N/A,TRUE,"Areas";#N/A,#N/A,TRUE,"Summary";#N/A,#N/A,TRUE,"Detail"}</definedName>
    <definedName name="ERKGNRR" hidden="1">{#N/A,#N/A,TRUE,"Front";#N/A,#N/A,TRUE,"Simple Letter";#N/A,#N/A,TRUE,"Inside";#N/A,#N/A,TRUE,"Contents";#N/A,#N/A,TRUE,"Basis";#N/A,#N/A,TRUE,"Inclusions";#N/A,#N/A,TRUE,"Exclusions";#N/A,#N/A,TRUE,"Areas";#N/A,#N/A,TRUE,"Summary";#N/A,#N/A,TRUE,"Detail"}</definedName>
    <definedName name="ersyy" localSheetId="2" hidden="1">{#N/A,#N/A,TRUE,"Cover";#N/A,#N/A,TRUE,"Conts";#N/A,#N/A,TRUE,"VOS";#N/A,#N/A,TRUE,"Warrington";#N/A,#N/A,TRUE,"Widnes"}</definedName>
    <definedName name="ersyy" hidden="1">{#N/A,#N/A,TRUE,"Cover";#N/A,#N/A,TRUE,"Conts";#N/A,#N/A,TRUE,"VOS";#N/A,#N/A,TRUE,"Warrington";#N/A,#N/A,TRUE,"Widnes"}</definedName>
    <definedName name="ert" localSheetId="2" hidden="1">{#N/A,#N/A,TRUE,"RESUMEN ECON.";#N/A,#N/A,TRUE,"Costos de R.H.";#N/A,#N/A,TRUE,"COSTO HW";#N/A,#N/A,TRUE,"CUADROS";#N/A,#N/A,TRUE,"SCADA´s";#N/A,#N/A,TRUE,"PRECIOS EQUIPOS"}</definedName>
    <definedName name="ert" hidden="1">{#N/A,#N/A,TRUE,"RESUMEN ECON.";#N/A,#N/A,TRUE,"Costos de R.H.";#N/A,#N/A,TRUE,"COSTO HW";#N/A,#N/A,TRUE,"CUADROS";#N/A,#N/A,TRUE,"SCADA´s";#N/A,#N/A,TRUE,"PRECIOS EQUIPOS"}</definedName>
    <definedName name="ertertertyer" localSheetId="2" hidden="1">{#N/A,#N/A,TRUE,"Front";#N/A,#N/A,TRUE,"Simple Letter";#N/A,#N/A,TRUE,"Inside";#N/A,#N/A,TRUE,"Contents";#N/A,#N/A,TRUE,"Basis";#N/A,#N/A,TRUE,"Inclusions";#N/A,#N/A,TRUE,"Exclusions";#N/A,#N/A,TRUE,"Areas";#N/A,#N/A,TRUE,"Summary";#N/A,#N/A,TRUE,"Detail"}</definedName>
    <definedName name="ertertertyer" hidden="1">{#N/A,#N/A,TRUE,"Front";#N/A,#N/A,TRUE,"Simple Letter";#N/A,#N/A,TRUE,"Inside";#N/A,#N/A,TRUE,"Contents";#N/A,#N/A,TRUE,"Basis";#N/A,#N/A,TRUE,"Inclusions";#N/A,#N/A,TRUE,"Exclusions";#N/A,#N/A,TRUE,"Areas";#N/A,#N/A,TRUE,"Summary";#N/A,#N/A,TRUE,"Detail"}</definedName>
    <definedName name="ertertyry" localSheetId="2" hidden="1">{#N/A,#N/A,TRUE,"Cover";#N/A,#N/A,TRUE,"Conts";#N/A,#N/A,TRUE,"VOS";#N/A,#N/A,TRUE,"Warrington";#N/A,#N/A,TRUE,"Widnes"}</definedName>
    <definedName name="ertertyry" hidden="1">{#N/A,#N/A,TRUE,"Cover";#N/A,#N/A,TRUE,"Conts";#N/A,#N/A,TRUE,"VOS";#N/A,#N/A,TRUE,"Warrington";#N/A,#N/A,TRUE,"Widnes"}</definedName>
    <definedName name="erterydrutru" localSheetId="2" hidden="1">{#N/A,#N/A,TRUE,"Cover";#N/A,#N/A,TRUE,"Conts";#N/A,#N/A,TRUE,"VOS";#N/A,#N/A,TRUE,"Warrington";#N/A,#N/A,TRUE,"Widnes"}</definedName>
    <definedName name="erterydrutru" hidden="1">{#N/A,#N/A,TRUE,"Cover";#N/A,#N/A,TRUE,"Conts";#N/A,#N/A,TRUE,"VOS";#N/A,#N/A,TRUE,"Warrington";#N/A,#N/A,TRUE,"Widnes"}</definedName>
    <definedName name="erteysry" localSheetId="2" hidden="1">{#N/A,#N/A,TRUE,"Cover";#N/A,#N/A,TRUE,"Conts";#N/A,#N/A,TRUE,"VOS";#N/A,#N/A,TRUE,"Warrington";#N/A,#N/A,TRUE,"Widnes"}</definedName>
    <definedName name="erteysry" hidden="1">{#N/A,#N/A,TRUE,"Cover";#N/A,#N/A,TRUE,"Conts";#N/A,#N/A,TRUE,"VOS";#N/A,#N/A,TRUE,"Warrington";#N/A,#N/A,TRUE,"Widnes"}</definedName>
    <definedName name="erw" hidden="1">#REF!</definedName>
    <definedName name="erwewr" localSheetId="2" hidden="1">{#N/A,#N/A,TRUE,"Front";#N/A,#N/A,TRUE,"Simple Letter";#N/A,#N/A,TRUE,"Inside";#N/A,#N/A,TRUE,"Contents";#N/A,#N/A,TRUE,"Basis";#N/A,#N/A,TRUE,"Inclusions";#N/A,#N/A,TRUE,"Exclusions";#N/A,#N/A,TRUE,"Areas";#N/A,#N/A,TRUE,"Summary";#N/A,#N/A,TRUE,"Detail"}</definedName>
    <definedName name="erwewr" hidden="1">{#N/A,#N/A,TRUE,"Front";#N/A,#N/A,TRUE,"Simple Letter";#N/A,#N/A,TRUE,"Inside";#N/A,#N/A,TRUE,"Contents";#N/A,#N/A,TRUE,"Basis";#N/A,#N/A,TRUE,"Inclusions";#N/A,#N/A,TRUE,"Exclusions";#N/A,#N/A,TRUE,"Areas";#N/A,#N/A,TRUE,"Summary";#N/A,#N/A,TRUE,"Detail"}</definedName>
    <definedName name="eryeryery" localSheetId="2" hidden="1">{#N/A,#N/A,TRUE,"Front";#N/A,#N/A,TRUE,"Simple Letter";#N/A,#N/A,TRUE,"Inside";#N/A,#N/A,TRUE,"Contents";#N/A,#N/A,TRUE,"Basis";#N/A,#N/A,TRUE,"Inclusions";#N/A,#N/A,TRUE,"Exclusions";#N/A,#N/A,TRUE,"Areas";#N/A,#N/A,TRUE,"Summary";#N/A,#N/A,TRUE,"Detail"}</definedName>
    <definedName name="eryeryery" hidden="1">{#N/A,#N/A,TRUE,"Front";#N/A,#N/A,TRUE,"Simple Letter";#N/A,#N/A,TRUE,"Inside";#N/A,#N/A,TRUE,"Contents";#N/A,#N/A,TRUE,"Basis";#N/A,#N/A,TRUE,"Inclusions";#N/A,#N/A,TRUE,"Exclusions";#N/A,#N/A,TRUE,"Areas";#N/A,#N/A,TRUE,"Summary";#N/A,#N/A,TRUE,"Detail"}</definedName>
    <definedName name="eryeryeryey" localSheetId="2" hidden="1">{#N/A,#N/A,TRUE,"Front";#N/A,#N/A,TRUE,"Simple Letter";#N/A,#N/A,TRUE,"Inside";#N/A,#N/A,TRUE,"Contents";#N/A,#N/A,TRUE,"Basis";#N/A,#N/A,TRUE,"Inclusions";#N/A,#N/A,TRUE,"Exclusions";#N/A,#N/A,TRUE,"Areas";#N/A,#N/A,TRUE,"Summary";#N/A,#N/A,TRUE,"Detail"}</definedName>
    <definedName name="eryeryeryey" hidden="1">{#N/A,#N/A,TRUE,"Front";#N/A,#N/A,TRUE,"Simple Letter";#N/A,#N/A,TRUE,"Inside";#N/A,#N/A,TRUE,"Contents";#N/A,#N/A,TRUE,"Basis";#N/A,#N/A,TRUE,"Inclusions";#N/A,#N/A,TRUE,"Exclusions";#N/A,#N/A,TRUE,"Areas";#N/A,#N/A,TRUE,"Summary";#N/A,#N/A,TRUE,"Detail"}</definedName>
    <definedName name="eryr" localSheetId="2" hidden="1">{#N/A,#N/A,TRUE,"Cover";#N/A,#N/A,TRUE,"Conts";#N/A,#N/A,TRUE,"VOS";#N/A,#N/A,TRUE,"Warrington";#N/A,#N/A,TRUE,"Widnes"}</definedName>
    <definedName name="eryr" hidden="1">{#N/A,#N/A,TRUE,"Cover";#N/A,#N/A,TRUE,"Conts";#N/A,#N/A,TRUE,"VOS";#N/A,#N/A,TRUE,"Warrington";#N/A,#N/A,TRUE,"Widnes"}</definedName>
    <definedName name="eryrutru" localSheetId="2" hidden="1">{#N/A,#N/A,TRUE,"Cover";#N/A,#N/A,TRUE,"Conts";#N/A,#N/A,TRUE,"VOS";#N/A,#N/A,TRUE,"Warrington";#N/A,#N/A,TRUE,"Widnes"}</definedName>
    <definedName name="eryrutru" hidden="1">{#N/A,#N/A,TRUE,"Cover";#N/A,#N/A,TRUE,"Conts";#N/A,#N/A,TRUE,"VOS";#N/A,#N/A,TRUE,"Warrington";#N/A,#N/A,TRUE,"Widnes"}</definedName>
    <definedName name="erytrh" localSheetId="2" hidden="1">{#N/A,#N/A,TRUE,"Cover";#N/A,#N/A,TRUE,"Conts";#N/A,#N/A,TRUE,"VOS";#N/A,#N/A,TRUE,"Warrington";#N/A,#N/A,TRUE,"Widnes"}</definedName>
    <definedName name="erytrh" hidden="1">{#N/A,#N/A,TRUE,"Cover";#N/A,#N/A,TRUE,"Conts";#N/A,#N/A,TRUE,"VOS";#N/A,#N/A,TRUE,"Warrington";#N/A,#N/A,TRUE,"Widnes"}</definedName>
    <definedName name="erytuui" localSheetId="2" hidden="1">{#N/A,#N/A,TRUE,"Cover";#N/A,#N/A,TRUE,"Conts";#N/A,#N/A,TRUE,"VOS";#N/A,#N/A,TRUE,"Warrington";#N/A,#N/A,TRUE,"Widnes"}</definedName>
    <definedName name="erytuui" hidden="1">{#N/A,#N/A,TRUE,"Cover";#N/A,#N/A,TRUE,"Conts";#N/A,#N/A,TRUE,"VOS";#N/A,#N/A,TRUE,"Warrington";#N/A,#N/A,TRUE,"Widnes"}</definedName>
    <definedName name="eryytrysy" localSheetId="2" hidden="1">{#N/A,#N/A,TRUE,"Cover";#N/A,#N/A,TRUE,"Conts";#N/A,#N/A,TRUE,"VOS";#N/A,#N/A,TRUE,"Warrington";#N/A,#N/A,TRUE,"Widnes"}</definedName>
    <definedName name="eryytrysy" hidden="1">{#N/A,#N/A,TRUE,"Cover";#N/A,#N/A,TRUE,"Conts";#N/A,#N/A,TRUE,"VOS";#N/A,#N/A,TRUE,"Warrington";#N/A,#N/A,TRUE,"Widnes"}</definedName>
    <definedName name="estetystry" localSheetId="2" hidden="1">{#N/A,#N/A,TRUE,"Cover";#N/A,#N/A,TRUE,"Conts";#N/A,#N/A,TRUE,"VOS";#N/A,#N/A,TRUE,"Warrington";#N/A,#N/A,TRUE,"Widnes"}</definedName>
    <definedName name="estetystry" hidden="1">{#N/A,#N/A,TRUE,"Cover";#N/A,#N/A,TRUE,"Conts";#N/A,#N/A,TRUE,"VOS";#N/A,#N/A,TRUE,"Warrington";#N/A,#N/A,TRUE,"Widnes"}</definedName>
    <definedName name="estimateb" localSheetId="2" hidden="1">{#N/A,#N/A,TRUE,"Cover";#N/A,#N/A,TRUE,"Conts";#N/A,#N/A,TRUE,"VOS";#N/A,#N/A,TRUE,"Warrington";#N/A,#N/A,TRUE,"Widnes"}</definedName>
    <definedName name="estimateb" hidden="1">{#N/A,#N/A,TRUE,"Cover";#N/A,#N/A,TRUE,"Conts";#N/A,#N/A,TRUE,"VOS";#N/A,#N/A,TRUE,"Warrington";#N/A,#N/A,TRUE,"Widnes"}</definedName>
    <definedName name="etertyr" localSheetId="2" hidden="1">{#N/A,#N/A,TRUE,"Cover";#N/A,#N/A,TRUE,"Conts";#N/A,#N/A,TRUE,"VOS";#N/A,#N/A,TRUE,"Warrington";#N/A,#N/A,TRUE,"Widnes"}</definedName>
    <definedName name="etertyr" hidden="1">{#N/A,#N/A,TRUE,"Cover";#N/A,#N/A,TRUE,"Conts";#N/A,#N/A,TRUE,"VOS";#N/A,#N/A,TRUE,"Warrington";#N/A,#N/A,TRUE,"Widnes"}</definedName>
    <definedName name="etetert" localSheetId="2" hidden="1">{#N/A,#N/A,TRUE,"Cover";#N/A,#N/A,TRUE,"Conts";#N/A,#N/A,TRUE,"VOS";#N/A,#N/A,TRUE,"Warrington";#N/A,#N/A,TRUE,"Widnes"}</definedName>
    <definedName name="etetert" hidden="1">{#N/A,#N/A,TRUE,"Cover";#N/A,#N/A,TRUE,"Conts";#N/A,#N/A,TRUE,"VOS";#N/A,#N/A,TRUE,"Warrington";#N/A,#N/A,TRUE,"Widnes"}</definedName>
    <definedName name="eth" localSheetId="2" hidden="1">#REF!</definedName>
    <definedName name="eth" hidden="1">#REF!</definedName>
    <definedName name="etr6str7tuiuo" localSheetId="2" hidden="1">{#N/A,#N/A,TRUE,"Cover";#N/A,#N/A,TRUE,"Conts";#N/A,#N/A,TRUE,"VOS";#N/A,#N/A,TRUE,"Warrington";#N/A,#N/A,TRUE,"Widnes"}</definedName>
    <definedName name="etr6str7tuiuo" hidden="1">{#N/A,#N/A,TRUE,"Cover";#N/A,#N/A,TRUE,"Conts";#N/A,#N/A,TRUE,"VOS";#N/A,#N/A,TRUE,"Warrington";#N/A,#N/A,TRUE,"Widnes"}</definedName>
    <definedName name="etretyer" localSheetId="2" hidden="1">{#N/A,#N/A,TRUE,"Cover";#N/A,#N/A,TRUE,"Conts";#N/A,#N/A,TRUE,"VOS";#N/A,#N/A,TRUE,"Warrington";#N/A,#N/A,TRUE,"Widnes"}</definedName>
    <definedName name="etretyer" hidden="1">{#N/A,#N/A,TRUE,"Cover";#N/A,#N/A,TRUE,"Conts";#N/A,#N/A,TRUE,"VOS";#N/A,#N/A,TRUE,"Warrington";#N/A,#N/A,TRUE,"Widnes"}</definedName>
    <definedName name="etyegf" localSheetId="2" hidden="1">{#N/A,#N/A,TRUE,"Cover";#N/A,#N/A,TRUE,"Conts";#N/A,#N/A,TRUE,"VOS";#N/A,#N/A,TRUE,"Warrington";#N/A,#N/A,TRUE,"Widnes"}</definedName>
    <definedName name="etyegf" hidden="1">{#N/A,#N/A,TRUE,"Cover";#N/A,#N/A,TRUE,"Conts";#N/A,#N/A,TRUE,"VOS";#N/A,#N/A,TRUE,"Warrington";#N/A,#N/A,TRUE,"Widnes"}</definedName>
    <definedName name="etyytr" localSheetId="2" hidden="1">{#N/A,#N/A,TRUE,"Cover";#N/A,#N/A,TRUE,"Conts";#N/A,#N/A,TRUE,"VOS";#N/A,#N/A,TRUE,"Warrington";#N/A,#N/A,TRUE,"Widnes"}</definedName>
    <definedName name="etyytr" hidden="1">{#N/A,#N/A,TRUE,"Cover";#N/A,#N/A,TRUE,"Conts";#N/A,#N/A,TRUE,"VOS";#N/A,#N/A,TRUE,"Warrington";#N/A,#N/A,TRUE,"Widnes"}</definedName>
    <definedName name="ewateryryxyz" localSheetId="2" hidden="1">{#N/A,#N/A,TRUE,"Cover";#N/A,#N/A,TRUE,"Conts";#N/A,#N/A,TRUE,"VOS";#N/A,#N/A,TRUE,"Warrington";#N/A,#N/A,TRUE,"Widnes"}</definedName>
    <definedName name="ewateryryxyz" hidden="1">{#N/A,#N/A,TRUE,"Cover";#N/A,#N/A,TRUE,"Conts";#N/A,#N/A,TRUE,"VOS";#N/A,#N/A,TRUE,"Warrington";#N/A,#N/A,TRUE,"Widnes"}</definedName>
    <definedName name="ewt" localSheetId="2" hidden="1">{#N/A,#N/A,TRUE,"Cover";#N/A,#N/A,TRUE,"Conts";#N/A,#N/A,TRUE,"VOS";#N/A,#N/A,TRUE,"Warrington";#N/A,#N/A,TRUE,"Widnes"}</definedName>
    <definedName name="ewt" hidden="1">{#N/A,#N/A,TRUE,"Cover";#N/A,#N/A,TRUE,"Conts";#N/A,#N/A,TRUE,"VOS";#N/A,#N/A,TRUE,"Warrington";#N/A,#N/A,TRUE,"Widnes"}</definedName>
    <definedName name="ewtateryry" localSheetId="2" hidden="1">{#N/A,#N/A,TRUE,"Cover";#N/A,#N/A,TRUE,"Conts";#N/A,#N/A,TRUE,"VOS";#N/A,#N/A,TRUE,"Warrington";#N/A,#N/A,TRUE,"Widnes"}</definedName>
    <definedName name="ewtateryry" hidden="1">{#N/A,#N/A,TRUE,"Cover";#N/A,#N/A,TRUE,"Conts";#N/A,#N/A,TRUE,"VOS";#N/A,#N/A,TRUE,"Warrington";#N/A,#N/A,TRUE,"Widnes"}</definedName>
    <definedName name="ewtetterte" localSheetId="2" hidden="1">{#N/A,#N/A,TRUE,"Front";#N/A,#N/A,TRUE,"Simple Letter";#N/A,#N/A,TRUE,"Inside";#N/A,#N/A,TRUE,"Contents";#N/A,#N/A,TRUE,"Basis";#N/A,#N/A,TRUE,"Inclusions";#N/A,#N/A,TRUE,"Exclusions";#N/A,#N/A,TRUE,"Areas";#N/A,#N/A,TRUE,"Summary";#N/A,#N/A,TRUE,"Detail"}</definedName>
    <definedName name="ewtetterte" hidden="1">{#N/A,#N/A,TRUE,"Front";#N/A,#N/A,TRUE,"Simple Letter";#N/A,#N/A,TRUE,"Inside";#N/A,#N/A,TRUE,"Contents";#N/A,#N/A,TRUE,"Basis";#N/A,#N/A,TRUE,"Inclusions";#N/A,#N/A,TRUE,"Exclusions";#N/A,#N/A,TRUE,"Areas";#N/A,#N/A,TRUE,"Summary";#N/A,#N/A,TRUE,"Detail"}</definedName>
    <definedName name="eXCLUSIONS" hidden="1">{#N/A,#N/A,TRUE,"Cover";#N/A,#N/A,TRUE,"Conts";#N/A,#N/A,TRUE,"VOS";#N/A,#N/A,TRUE,"Warrington";#N/A,#N/A,TRUE,"Widnes"}</definedName>
    <definedName name="eyt" localSheetId="2" hidden="1">{"'Break down'!$A$4"}</definedName>
    <definedName name="eyt" hidden="1">{"'Break down'!$A$4"}</definedName>
    <definedName name="eyteyt" localSheetId="2" hidden="1">{#N/A,#N/A,FALSE,"CCTV"}</definedName>
    <definedName name="eyteyt" hidden="1">{#N/A,#N/A,FALSE,"CCTV"}</definedName>
    <definedName name="eyy" localSheetId="2" hidden="1">{#N/A,#N/A,TRUE,"Cover";#N/A,#N/A,TRUE,"Conts";#N/A,#N/A,TRUE,"VOS";#N/A,#N/A,TRUE,"Warrington";#N/A,#N/A,TRUE,"Widnes"}</definedName>
    <definedName name="eyy" hidden="1">{#N/A,#N/A,TRUE,"Cover";#N/A,#N/A,TRUE,"Conts";#N/A,#N/A,TRUE,"VOS";#N/A,#N/A,TRUE,"Warrington";#N/A,#N/A,TRUE,"Widnes"}</definedName>
    <definedName name="f" hidden="1">{#N/A,#N/A,TRUE,"Cover";#N/A,#N/A,TRUE,"Conts";#N/A,#N/A,TRUE,"VOS";#N/A,#N/A,TRUE,"Warrington";#N/A,#N/A,TRUE,"Widnes"}</definedName>
    <definedName name="facility"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facilit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fafa" localSheetId="2" hidden="1">{#N/A,#N/A,FALSE,"CCTV"}</definedName>
    <definedName name="fafa" hidden="1">{#N/A,#N/A,FALSE,"CCTV"}</definedName>
    <definedName name="fafjkla" localSheetId="2" hidden="1">{#N/A,#N/A,TRUE,"FIELDOFF";#N/A,#N/A,TRUE,"SCAFF";#N/A,#N/A,TRUE,"CONSTEQP";#N/A,#N/A,TRUE,"FUELUBE";#N/A,#N/A,TRUE,"CONSUME";#N/A,#N/A,TRUE,"FIELDEXP";#N/A,#N/A,TRUE,"MANPLAN";#N/A,#N/A,TRUE,"EQPLAN"}</definedName>
    <definedName name="fafjkla" hidden="1">{#N/A,#N/A,TRUE,"FIELDOFF";#N/A,#N/A,TRUE,"SCAFF";#N/A,#N/A,TRUE,"CONSTEQP";#N/A,#N/A,TRUE,"FUELUBE";#N/A,#N/A,TRUE,"CONSUME";#N/A,#N/A,TRUE,"FIELDEXP";#N/A,#N/A,TRUE,"MANPLAN";#N/A,#N/A,TRUE,"EQPLAN"}</definedName>
    <definedName name="fajfkj" localSheetId="2" hidden="1">{"'Break down'!$A$4"}</definedName>
    <definedName name="fajfkj" hidden="1">{"'Break down'!$A$4"}</definedName>
    <definedName name="fall" localSheetId="2" hidden="1">#REF!</definedName>
    <definedName name="fall" hidden="1">#REF!</definedName>
    <definedName name="fanculo" localSheetId="2" hidden="1">#REF!,#REF!</definedName>
    <definedName name="fanculo" hidden="1">#REF!,#REF!</definedName>
    <definedName name="FCode" hidden="1">#REF!</definedName>
    <definedName name="fd" hidden="1">#REF!</definedName>
    <definedName name="fddfhdfhdgh" localSheetId="2" hidden="1">{#N/A,#N/A,FALSE,"CCTV"}</definedName>
    <definedName name="fddfhdfhdgh" hidden="1">{#N/A,#N/A,FALSE,"CCTV"}</definedName>
    <definedName name="FDDH" localSheetId="2" hidden="1">{#N/A,#N/A,TRUE,"Front";#N/A,#N/A,TRUE,"Simple Letter";#N/A,#N/A,TRUE,"Inside";#N/A,#N/A,TRUE,"Contents";#N/A,#N/A,TRUE,"Basis";#N/A,#N/A,TRUE,"Inclusions";#N/A,#N/A,TRUE,"Exclusions";#N/A,#N/A,TRUE,"Areas";#N/A,#N/A,TRUE,"Summary";#N/A,#N/A,TRUE,"Detail"}</definedName>
    <definedName name="FDDH" hidden="1">{#N/A,#N/A,TRUE,"Front";#N/A,#N/A,TRUE,"Simple Letter";#N/A,#N/A,TRUE,"Inside";#N/A,#N/A,TRUE,"Contents";#N/A,#N/A,TRUE,"Basis";#N/A,#N/A,TRUE,"Inclusions";#N/A,#N/A,TRUE,"Exclusions";#N/A,#N/A,TRUE,"Areas";#N/A,#N/A,TRUE,"Summary";#N/A,#N/A,TRUE,"Detail"}</definedName>
    <definedName name="fdf" localSheetId="2" hidden="1">{#N/A,#N/A,FALSE,"CCTV"}</definedName>
    <definedName name="fdf" hidden="1">{#N/A,#N/A,FALSE,"CCTV"}</definedName>
    <definedName name="FDFDF" localSheetId="2" hidden="1">{#N/A,#N/A,FALSE,"CCTV"}</definedName>
    <definedName name="FDFDF" hidden="1">{#N/A,#N/A,FALSE,"CCTV"}</definedName>
    <definedName name="fdff" localSheetId="2"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dhdf" hidden="1">#REF!</definedName>
    <definedName name="fdhdfh" localSheetId="2" hidden="1">{#N/A,#N/A,TRUE,"Front";#N/A,#N/A,TRUE,"Simple Letter";#N/A,#N/A,TRUE,"Inside";#N/A,#N/A,TRUE,"Contents";#N/A,#N/A,TRUE,"Basis";#N/A,#N/A,TRUE,"Inclusions";#N/A,#N/A,TRUE,"Exclusions";#N/A,#N/A,TRUE,"Areas";#N/A,#N/A,TRUE,"Summary";#N/A,#N/A,TRUE,"Detail"}</definedName>
    <definedName name="fdhdfh" hidden="1">{#N/A,#N/A,TRUE,"Front";#N/A,#N/A,TRUE,"Simple Letter";#N/A,#N/A,TRUE,"Inside";#N/A,#N/A,TRUE,"Contents";#N/A,#N/A,TRUE,"Basis";#N/A,#N/A,TRUE,"Inclusions";#N/A,#N/A,TRUE,"Exclusions";#N/A,#N/A,TRUE,"Areas";#N/A,#N/A,TRUE,"Summary";#N/A,#N/A,TRUE,"Detail"}</definedName>
    <definedName name="fdhhfhh" localSheetId="2" hidden="1">{#N/A,#N/A,TRUE,"Front";#N/A,#N/A,TRUE,"Simple Letter";#N/A,#N/A,TRUE,"Inside";#N/A,#N/A,TRUE,"Contents";#N/A,#N/A,TRUE,"Basis";#N/A,#N/A,TRUE,"Inclusions";#N/A,#N/A,TRUE,"Exclusions";#N/A,#N/A,TRUE,"Areas";#N/A,#N/A,TRUE,"Summary";#N/A,#N/A,TRUE,"Detail"}</definedName>
    <definedName name="fdhhfhh" hidden="1">{#N/A,#N/A,TRUE,"Front";#N/A,#N/A,TRUE,"Simple Letter";#N/A,#N/A,TRUE,"Inside";#N/A,#N/A,TRUE,"Contents";#N/A,#N/A,TRUE,"Basis";#N/A,#N/A,TRUE,"Inclusions";#N/A,#N/A,TRUE,"Exclusions";#N/A,#N/A,TRUE,"Areas";#N/A,#N/A,TRUE,"Summary";#N/A,#N/A,TRUE,"Detail"}</definedName>
    <definedName name="FDR" localSheetId="2" hidden="1">#REF!</definedName>
    <definedName name="FDR" hidden="1">#REF!</definedName>
    <definedName name="fdshdfhedre" hidden="1">#REF!</definedName>
    <definedName name="fdwsaq" hidden="1">#REF!</definedName>
    <definedName name="fe" localSheetId="2" hidden="1">#REF!</definedName>
    <definedName name="fe" hidden="1">#REF!</definedName>
    <definedName name="fedr" localSheetId="2" hidden="1">{#N/A,#N/A,TRUE,"Front";#N/A,#N/A,TRUE,"Simple Letter";#N/A,#N/A,TRUE,"Inside";#N/A,#N/A,TRUE,"Contents";#N/A,#N/A,TRUE,"Basis";#N/A,#N/A,TRUE,"Inclusions";#N/A,#N/A,TRUE,"Exclusions";#N/A,#N/A,TRUE,"Areas";#N/A,#N/A,TRUE,"Summary";#N/A,#N/A,TRUE,"Detail"}</definedName>
    <definedName name="fedr" hidden="1">{#N/A,#N/A,TRUE,"Front";#N/A,#N/A,TRUE,"Simple Letter";#N/A,#N/A,TRUE,"Inside";#N/A,#N/A,TRUE,"Contents";#N/A,#N/A,TRUE,"Basis";#N/A,#N/A,TRUE,"Inclusions";#N/A,#N/A,TRUE,"Exclusions";#N/A,#N/A,TRUE,"Areas";#N/A,#N/A,TRUE,"Summary";#N/A,#N/A,TRUE,"Detail"}</definedName>
    <definedName name="Fees.1" localSheetId="2" hidden="1">{#N/A,#N/A,TRUE,"Cover";#N/A,#N/A,TRUE,"Conts";#N/A,#N/A,TRUE,"VOS";#N/A,#N/A,TRUE,"Warrington";#N/A,#N/A,TRUE,"Widnes"}</definedName>
    <definedName name="Fees.1" hidden="1">{#N/A,#N/A,TRUE,"Cover";#N/A,#N/A,TRUE,"Conts";#N/A,#N/A,TRUE,"VOS";#N/A,#N/A,TRUE,"Warrington";#N/A,#N/A,TRUE,"Widnes"}</definedName>
    <definedName name="fefwe" localSheetId="2" hidden="1">{#N/A,#N/A,TRUE,"Front";#N/A,#N/A,TRUE,"Simple Letter";#N/A,#N/A,TRUE,"Inside";#N/A,#N/A,TRUE,"Contents";#N/A,#N/A,TRUE,"Basis";#N/A,#N/A,TRUE,"Inclusions";#N/A,#N/A,TRUE,"Exclusions";#N/A,#N/A,TRUE,"Areas";#N/A,#N/A,TRUE,"Summary";#N/A,#N/A,TRUE,"Detail"}</definedName>
    <definedName name="fefwe" hidden="1">{#N/A,#N/A,TRUE,"Front";#N/A,#N/A,TRUE,"Simple Letter";#N/A,#N/A,TRUE,"Inside";#N/A,#N/A,TRUE,"Contents";#N/A,#N/A,TRUE,"Basis";#N/A,#N/A,TRUE,"Inclusions";#N/A,#N/A,TRUE,"Exclusions";#N/A,#N/A,TRUE,"Areas";#N/A,#N/A,TRUE,"Summary";#N/A,#N/A,TRUE,"Detail"}</definedName>
    <definedName name="few" localSheetId="2" hidden="1">{#N/A,#N/A,TRUE,"Front";#N/A,#N/A,TRUE,"Simple Letter";#N/A,#N/A,TRUE,"Inside";#N/A,#N/A,TRUE,"Contents";#N/A,#N/A,TRUE,"Basis";#N/A,#N/A,TRUE,"Inclusions";#N/A,#N/A,TRUE,"Exclusions";#N/A,#N/A,TRUE,"Areas";#N/A,#N/A,TRUE,"Summary";#N/A,#N/A,TRUE,"Detail"}</definedName>
    <definedName name="few" hidden="1">{#N/A,#N/A,TRUE,"Front";#N/A,#N/A,TRUE,"Simple Letter";#N/A,#N/A,TRUE,"Inside";#N/A,#N/A,TRUE,"Contents";#N/A,#N/A,TRUE,"Basis";#N/A,#N/A,TRUE,"Inclusions";#N/A,#N/A,TRUE,"Exclusions";#N/A,#N/A,TRUE,"Areas";#N/A,#N/A,TRUE,"Summary";#N/A,#N/A,TRUE,"Detail"}</definedName>
    <definedName name="fewf" localSheetId="2" hidden="1">{#N/A,#N/A,TRUE,"Front";#N/A,#N/A,TRUE,"Simple Letter";#N/A,#N/A,TRUE,"Inside";#N/A,#N/A,TRUE,"Contents";#N/A,#N/A,TRUE,"Basis";#N/A,#N/A,TRUE,"Inclusions";#N/A,#N/A,TRUE,"Exclusions";#N/A,#N/A,TRUE,"Areas";#N/A,#N/A,TRUE,"Summary";#N/A,#N/A,TRUE,"Detail"}</definedName>
    <definedName name="fewf" hidden="1">{#N/A,#N/A,TRUE,"Front";#N/A,#N/A,TRUE,"Simple Letter";#N/A,#N/A,TRUE,"Inside";#N/A,#N/A,TRUE,"Contents";#N/A,#N/A,TRUE,"Basis";#N/A,#N/A,TRUE,"Inclusions";#N/A,#N/A,TRUE,"Exclusions";#N/A,#N/A,TRUE,"Areas";#N/A,#N/A,TRUE,"Summary";#N/A,#N/A,TRUE,"Detail"}</definedName>
    <definedName name="FFF" localSheetId="2" hidden="1">{#N/A,#N/A,TRUE,"SUMMARY";#N/A,#N/A,TRUE,"ISBL";#N/A,#N/A,TRUE,"OSBL";#N/A,#N/A,TRUE,"OFFSITE";#N/A,#N/A,TRUE,"STEAM"}</definedName>
    <definedName name="FFF" hidden="1">{#N/A,#N/A,TRUE,"SUMMARY";#N/A,#N/A,TRUE,"ISBL";#N/A,#N/A,TRUE,"OSBL";#N/A,#N/A,TRUE,"OFFSITE";#N/A,#N/A,TRUE,"STEAM"}</definedName>
    <definedName name="ffffff" localSheetId="2" hidden="1">{#N/A,#N/A,FALSE,"CCTV"}</definedName>
    <definedName name="ffffff" hidden="1">{#N/A,#N/A,FALSE,"CCTV"}</definedName>
    <definedName name="fffuu" localSheetId="2" hidden="1">{"'Break down'!$A$4"}</definedName>
    <definedName name="fffuu" hidden="1">{"'Break down'!$A$4"}</definedName>
    <definedName name="ffqwe" localSheetId="2" hidden="1">{#N/A,#N/A,TRUE,"Front";#N/A,#N/A,TRUE,"Simple Letter";#N/A,#N/A,TRUE,"Inside";#N/A,#N/A,TRUE,"Contents";#N/A,#N/A,TRUE,"Basis";#N/A,#N/A,TRUE,"Inclusions";#N/A,#N/A,TRUE,"Exclusions";#N/A,#N/A,TRUE,"Areas";#N/A,#N/A,TRUE,"Summary";#N/A,#N/A,TRUE,"Detail"}</definedName>
    <definedName name="ffqwe" hidden="1">{#N/A,#N/A,TRUE,"Front";#N/A,#N/A,TRUE,"Simple Letter";#N/A,#N/A,TRUE,"Inside";#N/A,#N/A,TRUE,"Contents";#N/A,#N/A,TRUE,"Basis";#N/A,#N/A,TRUE,"Inclusions";#N/A,#N/A,TRUE,"Exclusions";#N/A,#N/A,TRUE,"Areas";#N/A,#N/A,TRUE,"Summary";#N/A,#N/A,TRUE,"Detail"}</definedName>
    <definedName name="ffsdf" localSheetId="2" hidden="1">{#N/A,#N/A,TRUE,"Front";#N/A,#N/A,TRUE,"Simple Letter";#N/A,#N/A,TRUE,"Inside";#N/A,#N/A,TRUE,"Contents";#N/A,#N/A,TRUE,"Basis";#N/A,#N/A,TRUE,"Inclusions";#N/A,#N/A,TRUE,"Exclusions";#N/A,#N/A,TRUE,"Areas";#N/A,#N/A,TRUE,"Summary";#N/A,#N/A,TRUE,"Detail"}</definedName>
    <definedName name="ffsdf" hidden="1">{#N/A,#N/A,TRUE,"Front";#N/A,#N/A,TRUE,"Simple Letter";#N/A,#N/A,TRUE,"Inside";#N/A,#N/A,TRUE,"Contents";#N/A,#N/A,TRUE,"Basis";#N/A,#N/A,TRUE,"Inclusions";#N/A,#N/A,TRUE,"Exclusions";#N/A,#N/A,TRUE,"Areas";#N/A,#N/A,TRUE,"Summary";#N/A,#N/A,TRUE,"Detail"}</definedName>
    <definedName name="fg" localSheetId="2" hidden="1">{#N/A,#N/A,FALSE,"SumG";#N/A,#N/A,FALSE,"ElecG";#N/A,#N/A,FALSE,"MechG";#N/A,#N/A,FALSE,"GeotG";#N/A,#N/A,FALSE,"PrcsG";#N/A,#N/A,FALSE,"TunnG";#N/A,#N/A,FALSE,"CivlG";#N/A,#N/A,FALSE,"NtwkG";#N/A,#N/A,FALSE,"EstgG";#N/A,#N/A,FALSE,"PEngG"}</definedName>
    <definedName name="fg" hidden="1">{#N/A,#N/A,TRUE,"Cover";#N/A,#N/A,TRUE,"Conts";#N/A,#N/A,TRUE,"VOS";#N/A,#N/A,TRUE,"Warrington";#N/A,#N/A,TRUE,"Widnes"}</definedName>
    <definedName name="fgd" hidden="1">#REF!</definedName>
    <definedName name="fgdfg" localSheetId="2"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 localSheetId="2" hidden="1">{#N/A,#N/A,FALSE,"CCTV"}</definedName>
    <definedName name="FGF" hidden="1">{#N/A,#N/A,FALSE,"CCTV"}</definedName>
    <definedName name="fgfdg" localSheetId="2"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gdfhdf" localSheetId="2" hidden="1">{#N/A,#N/A,TRUE,"Front";#N/A,#N/A,TRUE,"Simple Letter";#N/A,#N/A,TRUE,"Inside";#N/A,#N/A,TRUE,"Contents";#N/A,#N/A,TRUE,"Basis";#N/A,#N/A,TRUE,"Inclusions";#N/A,#N/A,TRUE,"Exclusions";#N/A,#N/A,TRUE,"Areas";#N/A,#N/A,TRUE,"Summary";#N/A,#N/A,TRUE,"Detail"}</definedName>
    <definedName name="fggdfhdf" hidden="1">{#N/A,#N/A,TRUE,"Front";#N/A,#N/A,TRUE,"Simple Letter";#N/A,#N/A,TRUE,"Inside";#N/A,#N/A,TRUE,"Contents";#N/A,#N/A,TRUE,"Basis";#N/A,#N/A,TRUE,"Inclusions";#N/A,#N/A,TRUE,"Exclusions";#N/A,#N/A,TRUE,"Areas";#N/A,#N/A,TRUE,"Summary";#N/A,#N/A,TRUE,"Detail"}</definedName>
    <definedName name="fgghgh" localSheetId="2" hidden="1">{#N/A,#N/A,TRUE,"Front";#N/A,#N/A,TRUE,"Simple Letter";#N/A,#N/A,TRUE,"Inside";#N/A,#N/A,TRUE,"Contents";#N/A,#N/A,TRUE,"Basis";#N/A,#N/A,TRUE,"Inclusions";#N/A,#N/A,TRUE,"Exclusions";#N/A,#N/A,TRUE,"Areas";#N/A,#N/A,TRUE,"Summary";#N/A,#N/A,TRUE,"Detail"}</definedName>
    <definedName name="fgghgh" hidden="1">{#N/A,#N/A,TRUE,"Front";#N/A,#N/A,TRUE,"Simple Letter";#N/A,#N/A,TRUE,"Inside";#N/A,#N/A,TRUE,"Contents";#N/A,#N/A,TRUE,"Basis";#N/A,#N/A,TRUE,"Inclusions";#N/A,#N/A,TRUE,"Exclusions";#N/A,#N/A,TRUE,"Areas";#N/A,#N/A,TRUE,"Summary";#N/A,#N/A,TRUE,"Detail"}</definedName>
    <definedName name="FGH" localSheetId="2" hidden="1">{#N/A,#N/A,FALSE,"估價單  (3)"}</definedName>
    <definedName name="FGH" hidden="1">{#N/A,#N/A,FALSE,"估價單  (3)"}</definedName>
    <definedName name="fghfg" localSheetId="2"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2"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hhg" localSheetId="2" hidden="1">{#N/A,#N/A,TRUE,"Front";#N/A,#N/A,TRUE,"Simple Letter";#N/A,#N/A,TRUE,"Inside";#N/A,#N/A,TRUE,"Contents";#N/A,#N/A,TRUE,"Basis";#N/A,#N/A,TRUE,"Inclusions";#N/A,#N/A,TRUE,"Exclusions";#N/A,#N/A,TRUE,"Areas";#N/A,#N/A,TRUE,"Summary";#N/A,#N/A,TRUE,"Detail"}</definedName>
    <definedName name="fghhg" hidden="1">{#N/A,#N/A,TRUE,"Front";#N/A,#N/A,TRUE,"Simple Letter";#N/A,#N/A,TRUE,"Inside";#N/A,#N/A,TRUE,"Contents";#N/A,#N/A,TRUE,"Basis";#N/A,#N/A,TRUE,"Inclusions";#N/A,#N/A,TRUE,"Exclusions";#N/A,#N/A,TRUE,"Areas";#N/A,#N/A,TRUE,"Summary";#N/A,#N/A,TRUE,"Detail"}</definedName>
    <definedName name="FGHJKL" hidden="1">#REF!</definedName>
    <definedName name="fgjgj" localSheetId="2" hidden="1">{#N/A,#N/A,TRUE,"Front";#N/A,#N/A,TRUE,"Simple Letter";#N/A,#N/A,TRUE,"Inside";#N/A,#N/A,TRUE,"Contents";#N/A,#N/A,TRUE,"Basis";#N/A,#N/A,TRUE,"Inclusions";#N/A,#N/A,TRUE,"Exclusions";#N/A,#N/A,TRUE,"Areas";#N/A,#N/A,TRUE,"Summary";#N/A,#N/A,TRUE,"Detail"}</definedName>
    <definedName name="fgjgj" hidden="1">{#N/A,#N/A,TRUE,"Front";#N/A,#N/A,TRUE,"Simple Letter";#N/A,#N/A,TRUE,"Inside";#N/A,#N/A,TRUE,"Contents";#N/A,#N/A,TRUE,"Basis";#N/A,#N/A,TRUE,"Inclusions";#N/A,#N/A,TRUE,"Exclusions";#N/A,#N/A,TRUE,"Areas";#N/A,#N/A,TRUE,"Summary";#N/A,#N/A,TRUE,"Detail"}</definedName>
    <definedName name="fgjjfj" localSheetId="2" hidden="1">{#N/A,#N/A,TRUE,"Front";#N/A,#N/A,TRUE,"Simple Letter";#N/A,#N/A,TRUE,"Inside";#N/A,#N/A,TRUE,"Contents";#N/A,#N/A,TRUE,"Basis";#N/A,#N/A,TRUE,"Inclusions";#N/A,#N/A,TRUE,"Exclusions";#N/A,#N/A,TRUE,"Areas";#N/A,#N/A,TRUE,"Summary";#N/A,#N/A,TRUE,"Detail"}</definedName>
    <definedName name="fgjjfj" hidden="1">{#N/A,#N/A,TRUE,"Front";#N/A,#N/A,TRUE,"Simple Letter";#N/A,#N/A,TRUE,"Inside";#N/A,#N/A,TRUE,"Contents";#N/A,#N/A,TRUE,"Basis";#N/A,#N/A,TRUE,"Inclusions";#N/A,#N/A,TRUE,"Exclusions";#N/A,#N/A,TRUE,"Areas";#N/A,#N/A,TRUE,"Summary";#N/A,#N/A,TRUE,"Detail"}</definedName>
    <definedName name="fgjjjkyg" localSheetId="2" hidden="1">{#N/A,#N/A,TRUE,"Cover";#N/A,#N/A,TRUE,"Conts";#N/A,#N/A,TRUE,"VOS";#N/A,#N/A,TRUE,"Warrington";#N/A,#N/A,TRUE,"Widnes"}</definedName>
    <definedName name="fgjjjkyg" hidden="1">{#N/A,#N/A,TRUE,"Cover";#N/A,#N/A,TRUE,"Conts";#N/A,#N/A,TRUE,"VOS";#N/A,#N/A,TRUE,"Warrington";#N/A,#N/A,TRUE,"Widnes"}</definedName>
    <definedName name="fgr" localSheetId="2" hidden="1">{#N/A,#N/A,TRUE,"Front";#N/A,#N/A,TRUE,"Simple Letter";#N/A,#N/A,TRUE,"Inside";#N/A,#N/A,TRUE,"Contents";#N/A,#N/A,TRUE,"Basis";#N/A,#N/A,TRUE,"Inclusions";#N/A,#N/A,TRUE,"Exclusions";#N/A,#N/A,TRUE,"Areas";#N/A,#N/A,TRUE,"Summary";#N/A,#N/A,TRUE,"Detail"}</definedName>
    <definedName name="fgr" hidden="1">{#N/A,#N/A,TRUE,"Front";#N/A,#N/A,TRUE,"Simple Letter";#N/A,#N/A,TRUE,"Inside";#N/A,#N/A,TRUE,"Contents";#N/A,#N/A,TRUE,"Basis";#N/A,#N/A,TRUE,"Inclusions";#N/A,#N/A,TRUE,"Exclusions";#N/A,#N/A,TRUE,"Areas";#N/A,#N/A,TRUE,"Summary";#N/A,#N/A,TRUE,"Detail"}</definedName>
    <definedName name="fgtt" localSheetId="2" hidden="1">{"'Sheet1'!$A$4386:$N$4591"}</definedName>
    <definedName name="fgtt" hidden="1">{"'Sheet1'!$A$4386:$N$4591"}</definedName>
    <definedName name="fhgfh" localSheetId="2" hidden="1">{#N/A,#N/A,TRUE,"Front";#N/A,#N/A,TRUE,"Simple Letter";#N/A,#N/A,TRUE,"Inside";#N/A,#N/A,TRUE,"Contents";#N/A,#N/A,TRUE,"Basis";#N/A,#N/A,TRUE,"Inclusions";#N/A,#N/A,TRUE,"Exclusions";#N/A,#N/A,TRUE,"Areas";#N/A,#N/A,TRUE,"Summary";#N/A,#N/A,TRUE,"Detail"}</definedName>
    <definedName name="fhgfh" hidden="1">{#N/A,#N/A,TRUE,"Front";#N/A,#N/A,TRUE,"Simple Letter";#N/A,#N/A,TRUE,"Inside";#N/A,#N/A,TRUE,"Contents";#N/A,#N/A,TRUE,"Basis";#N/A,#N/A,TRUE,"Inclusions";#N/A,#N/A,TRUE,"Exclusions";#N/A,#N/A,TRUE,"Areas";#N/A,#N/A,TRUE,"Summary";#N/A,#N/A,TRUE,"Detail"}</definedName>
    <definedName name="fhgjfghfghgf" localSheetId="2" hidden="1">{#N/A,#N/A,FALSE,"CCTV"}</definedName>
    <definedName name="fhgjfghfghgf" hidden="1">{#N/A,#N/A,FALSE,"CCTV"}</definedName>
    <definedName name="fhgujguthi" localSheetId="2" hidden="1">{#N/A,#N/A,TRUE,"Cover";#N/A,#N/A,TRUE,"Conts";#N/A,#N/A,TRUE,"VOS";#N/A,#N/A,TRUE,"Warrington";#N/A,#N/A,TRUE,"Widnes"}</definedName>
    <definedName name="fhgujguthi" hidden="1">{#N/A,#N/A,TRUE,"Cover";#N/A,#N/A,TRUE,"Conts";#N/A,#N/A,TRUE,"VOS";#N/A,#N/A,TRUE,"Warrington";#N/A,#N/A,TRUE,"Widnes"}</definedName>
    <definedName name="fhhfhg" localSheetId="2" hidden="1">{#N/A,#N/A,TRUE,"Front";#N/A,#N/A,TRUE,"Simple Letter";#N/A,#N/A,TRUE,"Inside";#N/A,#N/A,TRUE,"Contents";#N/A,#N/A,TRUE,"Basis";#N/A,#N/A,TRUE,"Inclusions";#N/A,#N/A,TRUE,"Exclusions";#N/A,#N/A,TRUE,"Areas";#N/A,#N/A,TRUE,"Summary";#N/A,#N/A,TRUE,"Detail"}</definedName>
    <definedName name="fhhfhg" hidden="1">{#N/A,#N/A,TRUE,"Front";#N/A,#N/A,TRUE,"Simple Letter";#N/A,#N/A,TRUE,"Inside";#N/A,#N/A,TRUE,"Contents";#N/A,#N/A,TRUE,"Basis";#N/A,#N/A,TRUE,"Inclusions";#N/A,#N/A,TRUE,"Exclusions";#N/A,#N/A,TRUE,"Areas";#N/A,#N/A,TRUE,"Summary";#N/A,#N/A,TRUE,"Detail"}</definedName>
    <definedName name="fhjf" localSheetId="2" hidden="1">{#N/A,#N/A,TRUE,"Front";#N/A,#N/A,TRUE,"Simple Letter";#N/A,#N/A,TRUE,"Inside";#N/A,#N/A,TRUE,"Contents";#N/A,#N/A,TRUE,"Basis";#N/A,#N/A,TRUE,"Inclusions";#N/A,#N/A,TRUE,"Exclusions";#N/A,#N/A,TRUE,"Areas";#N/A,#N/A,TRUE,"Summary";#N/A,#N/A,TRUE,"Detail"}</definedName>
    <definedName name="fhjf" hidden="1">{#N/A,#N/A,TRUE,"Front";#N/A,#N/A,TRUE,"Simple Letter";#N/A,#N/A,TRUE,"Inside";#N/A,#N/A,TRUE,"Contents";#N/A,#N/A,TRUE,"Basis";#N/A,#N/A,TRUE,"Inclusions";#N/A,#N/A,TRUE,"Exclusions";#N/A,#N/A,TRUE,"Areas";#N/A,#N/A,TRUE,"Summary";#N/A,#N/A,TRUE,"Detail"}</definedName>
    <definedName name="fhjsjs" localSheetId="2" hidden="1">{#N/A,#N/A,TRUE,"Cover";#N/A,#N/A,TRUE,"Conts";#N/A,#N/A,TRUE,"VOS";#N/A,#N/A,TRUE,"Warrington";#N/A,#N/A,TRUE,"Widnes"}</definedName>
    <definedName name="fhjsjs" hidden="1">{#N/A,#N/A,TRUE,"Cover";#N/A,#N/A,TRUE,"Conts";#N/A,#N/A,TRUE,"VOS";#N/A,#N/A,TRUE,"Warrington";#N/A,#N/A,TRUE,"Widnes"}</definedName>
    <definedName name="ficha" localSheetId="2" hidden="1">{#N/A,#N/A,FALSE,"RESUMEN ECON.";#N/A,#N/A,FALSE,"Costos de R.H.";#N/A,#N/A,FALSE,"COSTO HW";#N/A,#N/A,FALSE,"CUADROS";#N/A,#N/A,FALSE,"SCADA´s";#N/A,#N/A,FALSE,"PRECIOS EQUIPOS"}</definedName>
    <definedName name="ficha" hidden="1">{#N/A,#N/A,FALSE,"RESUMEN ECON.";#N/A,#N/A,FALSE,"Costos de R.H.";#N/A,#N/A,FALSE,"COSTO HW";#N/A,#N/A,FALSE,"CUADROS";#N/A,#N/A,FALSE,"SCADA´s";#N/A,#N/A,FALSE,"PRECIOS EQUIPOS"}</definedName>
    <definedName name="fiyu" localSheetId="2" hidden="1">{"'Break down'!$A$4"}</definedName>
    <definedName name="fiyu" hidden="1">{"'Break down'!$A$4"}</definedName>
    <definedName name="fjhgfd" localSheetId="2" hidden="1">{"'Sheet1'!$A$4386:$N$4591"}</definedName>
    <definedName name="fjhgfd" hidden="1">{"'Sheet1'!$A$4386:$N$4591"}</definedName>
    <definedName name="fk" localSheetId="2" hidden="1">#REF!</definedName>
    <definedName name="fk" hidden="1">#REF!</definedName>
    <definedName name="fkfkvhikkhju" localSheetId="2" hidden="1">{#N/A,#N/A,TRUE,"Cover";#N/A,#N/A,TRUE,"Conts";#N/A,#N/A,TRUE,"VOS";#N/A,#N/A,TRUE,"Warrington";#N/A,#N/A,TRUE,"Widnes"}</definedName>
    <definedName name="fkfkvhikkhju" hidden="1">{#N/A,#N/A,TRUE,"Cover";#N/A,#N/A,TRUE,"Conts";#N/A,#N/A,TRUE,"VOS";#N/A,#N/A,TRUE,"Warrington";#N/A,#N/A,TRUE,"Widnes"}</definedName>
    <definedName name="fkieifi" localSheetId="2" hidden="1">#REF!</definedName>
    <definedName name="fkieifi" hidden="1">#REF!</definedName>
    <definedName name="FM" localSheetId="2" hidden="1">{#N/A,#N/A,FALSE,"CCTV"}</definedName>
    <definedName name="FM" hidden="1">{#N/A,#N/A,FALSE,"CCTV"}</definedName>
    <definedName name="fnfjjfnfn" localSheetId="2" hidden="1">{#N/A,#N/A,TRUE,"Front";#N/A,#N/A,TRUE,"Simple Letter";#N/A,#N/A,TRUE,"Inside";#N/A,#N/A,TRUE,"Contents";#N/A,#N/A,TRUE,"Basis";#N/A,#N/A,TRUE,"Inclusions";#N/A,#N/A,TRUE,"Exclusions";#N/A,#N/A,TRUE,"Areas";#N/A,#N/A,TRUE,"Summary";#N/A,#N/A,TRUE,"Detail"}</definedName>
    <definedName name="fnfjjfnfn" hidden="1">{#N/A,#N/A,TRUE,"Front";#N/A,#N/A,TRUE,"Simple Letter";#N/A,#N/A,TRUE,"Inside";#N/A,#N/A,TRUE,"Contents";#N/A,#N/A,TRUE,"Basis";#N/A,#N/A,TRUE,"Inclusions";#N/A,#N/A,TRUE,"Exclusions";#N/A,#N/A,TRUE,"Areas";#N/A,#N/A,TRUE,"Summary";#N/A,#N/A,TRUE,"Detail"}</definedName>
    <definedName name="fre" localSheetId="2" hidden="1">{#N/A,#N/A,TRUE,"Cover";#N/A,#N/A,TRUE,"Conts";#N/A,#N/A,TRUE,"VOS";#N/A,#N/A,TRUE,"Warrington";#N/A,#N/A,TRUE,"Widnes"}</definedName>
    <definedName name="fre" hidden="1">{#N/A,#N/A,TRUE,"Cover";#N/A,#N/A,TRUE,"Conts";#N/A,#N/A,TRUE,"VOS";#N/A,#N/A,TRUE,"Warrington";#N/A,#N/A,TRUE,"Widnes"}</definedName>
    <definedName name="frff" localSheetId="2" hidden="1">{#N/A,#N/A,TRUE,"Front";#N/A,#N/A,TRUE,"Simple Letter";#N/A,#N/A,TRUE,"Inside";#N/A,#N/A,TRUE,"Contents";#N/A,#N/A,TRUE,"Basis";#N/A,#N/A,TRUE,"Inclusions";#N/A,#N/A,TRUE,"Exclusions";#N/A,#N/A,TRUE,"Areas";#N/A,#N/A,TRUE,"Summary";#N/A,#N/A,TRUE,"Detail"}</definedName>
    <definedName name="frff" hidden="1">{#N/A,#N/A,TRUE,"Front";#N/A,#N/A,TRUE,"Simple Letter";#N/A,#N/A,TRUE,"Inside";#N/A,#N/A,TRUE,"Contents";#N/A,#N/A,TRUE,"Basis";#N/A,#N/A,TRUE,"Inclusions";#N/A,#N/A,TRUE,"Exclusions";#N/A,#N/A,TRUE,"Areas";#N/A,#N/A,TRUE,"Summary";#N/A,#N/A,TRUE,"Detail"}</definedName>
    <definedName name="frjj" localSheetId="2" hidden="1">{#N/A,#N/A,TRUE,"Cover";#N/A,#N/A,TRUE,"Conts";#N/A,#N/A,TRUE,"VOS";#N/A,#N/A,TRUE,"Warrington";#N/A,#N/A,TRUE,"Widnes"}</definedName>
    <definedName name="frjj" hidden="1">{#N/A,#N/A,TRUE,"Cover";#N/A,#N/A,TRUE,"Conts";#N/A,#N/A,TRUE,"VOS";#N/A,#N/A,TRUE,"Warrington";#N/A,#N/A,TRUE,"Widnes"}</definedName>
    <definedName name="fsd" localSheetId="2" hidden="1">#REF!</definedName>
    <definedName name="fsd" hidden="1">#REF!</definedName>
    <definedName name="fsdag" localSheetId="2" hidden="1">#REF!</definedName>
    <definedName name="fsdag" hidden="1">#REF!</definedName>
    <definedName name="fsdf" localSheetId="2" hidden="1">#REF!</definedName>
    <definedName name="fsdf" hidden="1">#REF!</definedName>
    <definedName name="FSDS" localSheetId="2" hidden="1">{#N/A,#N/A,FALSE,"MARCH"}</definedName>
    <definedName name="FSDS" hidden="1">{#N/A,#N/A,FALSE,"MARCH"}</definedName>
    <definedName name="fsf" localSheetId="2" hidden="1">{#N/A,#N/A,TRUE,"Front";#N/A,#N/A,TRUE,"Simple Letter";#N/A,#N/A,TRUE,"Inside";#N/A,#N/A,TRUE,"Contents";#N/A,#N/A,TRUE,"Basis";#N/A,#N/A,TRUE,"Inclusions";#N/A,#N/A,TRUE,"Exclusions";#N/A,#N/A,TRUE,"Areas";#N/A,#N/A,TRUE,"Summary";#N/A,#N/A,TRUE,"Detail"}</definedName>
    <definedName name="fsf" hidden="1">{#N/A,#N/A,TRUE,"Front";#N/A,#N/A,TRUE,"Simple Letter";#N/A,#N/A,TRUE,"Inside";#N/A,#N/A,TRUE,"Contents";#N/A,#N/A,TRUE,"Basis";#N/A,#N/A,TRUE,"Inclusions";#N/A,#N/A,TRUE,"Exclusions";#N/A,#N/A,TRUE,"Areas";#N/A,#N/A,TRUE,"Summary";#N/A,#N/A,TRUE,"Detail"}</definedName>
    <definedName name="fsfsd" localSheetId="2" hidden="1">{#N/A,#N/A,TRUE,"RESUMEN ECON.";#N/A,#N/A,TRUE,"Costos de R.H.";#N/A,#N/A,TRUE,"COSTO HW";#N/A,#N/A,TRUE,"CUADROS";#N/A,#N/A,TRUE,"SCADA´s";#N/A,#N/A,TRUE,"PRECIOS EQUIPOS"}</definedName>
    <definedName name="fsfsd" hidden="1">{#N/A,#N/A,TRUE,"RESUMEN ECON.";#N/A,#N/A,TRUE,"Costos de R.H.";#N/A,#N/A,TRUE,"COSTO HW";#N/A,#N/A,TRUE,"CUADROS";#N/A,#N/A,TRUE,"SCADA´s";#N/A,#N/A,TRUE,"PRECIOS EQUIPOS"}</definedName>
    <definedName name="fund" localSheetId="2" hidden="1">{"'Sheet1'!$A$4386:$N$4591"}</definedName>
    <definedName name="fund" hidden="1">{"'Sheet1'!$A$4386:$N$4591"}</definedName>
    <definedName name="Funds"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Fund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FW" localSheetId="2" hidden="1">{#N/A,#N/A,TRUE,"SUMMARY";#N/A,#N/A,TRUE,"ISBL";#N/A,#N/A,TRUE,"OSBL";#N/A,#N/A,TRUE,"OFFSITE";#N/A,#N/A,TRUE,"STEAM"}</definedName>
    <definedName name="FW" hidden="1">{#N/A,#N/A,TRUE,"SUMMARY";#N/A,#N/A,TRUE,"ISBL";#N/A,#N/A,TRUE,"OSBL";#N/A,#N/A,TRUE,"OFFSITE";#N/A,#N/A,TRUE,"STEAM"}</definedName>
    <definedName name="FWADEGGGFDG" hidden="1">#REF!</definedName>
    <definedName name="fwef" localSheetId="2" hidden="1">{#N/A,#N/A,TRUE,"Front";#N/A,#N/A,TRUE,"Simple Letter";#N/A,#N/A,TRUE,"Inside";#N/A,#N/A,TRUE,"Contents";#N/A,#N/A,TRUE,"Basis";#N/A,#N/A,TRUE,"Inclusions";#N/A,#N/A,TRUE,"Exclusions";#N/A,#N/A,TRUE,"Areas";#N/A,#N/A,TRUE,"Summary";#N/A,#N/A,TRUE,"Detail"}</definedName>
    <definedName name="fwef" hidden="1">{#N/A,#N/A,TRUE,"Front";#N/A,#N/A,TRUE,"Simple Letter";#N/A,#N/A,TRUE,"Inside";#N/A,#N/A,TRUE,"Contents";#N/A,#N/A,TRUE,"Basis";#N/A,#N/A,TRUE,"Inclusions";#N/A,#N/A,TRUE,"Exclusions";#N/A,#N/A,TRUE,"Areas";#N/A,#N/A,TRUE,"Summary";#N/A,#N/A,TRUE,"Detail"}</definedName>
    <definedName name="fweqw3rf" localSheetId="2" hidden="1">{#N/A,#N/A,TRUE,"Front";#N/A,#N/A,TRUE,"Simple Letter";#N/A,#N/A,TRUE,"Inside";#N/A,#N/A,TRUE,"Contents";#N/A,#N/A,TRUE,"Basis";#N/A,#N/A,TRUE,"Inclusions";#N/A,#N/A,TRUE,"Exclusions";#N/A,#N/A,TRUE,"Areas";#N/A,#N/A,TRUE,"Summary";#N/A,#N/A,TRUE,"Detail"}</definedName>
    <definedName name="fweqw3rf" hidden="1">{#N/A,#N/A,TRUE,"Front";#N/A,#N/A,TRUE,"Simple Letter";#N/A,#N/A,TRUE,"Inside";#N/A,#N/A,TRUE,"Contents";#N/A,#N/A,TRUE,"Basis";#N/A,#N/A,TRUE,"Inclusions";#N/A,#N/A,TRUE,"Exclusions";#N/A,#N/A,TRUE,"Areas";#N/A,#N/A,TRUE,"Summary";#N/A,#N/A,TRUE,"Detail"}</definedName>
    <definedName name="G" hidden="1">#REF!</definedName>
    <definedName name="g5t" localSheetId="2" hidden="1">{#N/A,#N/A,TRUE,"Front";#N/A,#N/A,TRUE,"Simple Letter";#N/A,#N/A,TRUE,"Inside";#N/A,#N/A,TRUE,"Contents";#N/A,#N/A,TRUE,"Basis";#N/A,#N/A,TRUE,"Inclusions";#N/A,#N/A,TRUE,"Exclusions";#N/A,#N/A,TRUE,"Areas";#N/A,#N/A,TRUE,"Summary";#N/A,#N/A,TRUE,"Detail"}</definedName>
    <definedName name="g5t" hidden="1">{#N/A,#N/A,TRUE,"Front";#N/A,#N/A,TRUE,"Simple Letter";#N/A,#N/A,TRUE,"Inside";#N/A,#N/A,TRUE,"Contents";#N/A,#N/A,TRUE,"Basis";#N/A,#N/A,TRUE,"Inclusions";#N/A,#N/A,TRUE,"Exclusions";#N/A,#N/A,TRUE,"Areas";#N/A,#N/A,TRUE,"Summary";#N/A,#N/A,TRUE,"Detail"}</definedName>
    <definedName name="gaeg" localSheetId="2" hidden="1">{#N/A,#N/A,TRUE,"Cover";#N/A,#N/A,TRUE,"Conts";#N/A,#N/A,TRUE,"VOS";#N/A,#N/A,TRUE,"Warrington";#N/A,#N/A,TRUE,"Widnes"}</definedName>
    <definedName name="gaeg" hidden="1">{#N/A,#N/A,TRUE,"Cover";#N/A,#N/A,TRUE,"Conts";#N/A,#N/A,TRUE,"VOS";#N/A,#N/A,TRUE,"Warrington";#N/A,#N/A,TRUE,"Widnes"}</definedName>
    <definedName name="gaegg" localSheetId="2" hidden="1">{#N/A,#N/A,TRUE,"Cover";#N/A,#N/A,TRUE,"Conts";#N/A,#N/A,TRUE,"VOS";#N/A,#N/A,TRUE,"Warrington";#N/A,#N/A,TRUE,"Widnes"}</definedName>
    <definedName name="gaegg" hidden="1">{#N/A,#N/A,TRUE,"Cover";#N/A,#N/A,TRUE,"Conts";#N/A,#N/A,TRUE,"VOS";#N/A,#N/A,TRUE,"Warrington";#N/A,#N/A,TRUE,"Widnes"}</definedName>
    <definedName name="GD" localSheetId="2" hidden="1">{#N/A,#N/A,FALSE,"CCTV"}</definedName>
    <definedName name="GD" hidden="1">{#N/A,#N/A,FALSE,"CCTV"}</definedName>
    <definedName name="gdfgdgdgdghhu" localSheetId="2" hidden="1">{#N/A,#N/A,TRUE,"Front";#N/A,#N/A,TRUE,"Simple Letter";#N/A,#N/A,TRUE,"Inside";#N/A,#N/A,TRUE,"Contents";#N/A,#N/A,TRUE,"Basis";#N/A,#N/A,TRUE,"Inclusions";#N/A,#N/A,TRUE,"Exclusions";#N/A,#N/A,TRUE,"Areas";#N/A,#N/A,TRUE,"Summary";#N/A,#N/A,TRUE,"Detail"}</definedName>
    <definedName name="gdfgdgdgdghhu" hidden="1">{#N/A,#N/A,TRUE,"Front";#N/A,#N/A,TRUE,"Simple Letter";#N/A,#N/A,TRUE,"Inside";#N/A,#N/A,TRUE,"Contents";#N/A,#N/A,TRUE,"Basis";#N/A,#N/A,TRUE,"Inclusions";#N/A,#N/A,TRUE,"Exclusions";#N/A,#N/A,TRUE,"Areas";#N/A,#N/A,TRUE,"Summary";#N/A,#N/A,TRUE,"Detail"}</definedName>
    <definedName name="gdg" localSheetId="2" hidden="1">{#N/A,#N/A,TRUE,"Front";#N/A,#N/A,TRUE,"Simple Letter";#N/A,#N/A,TRUE,"Inside";#N/A,#N/A,TRUE,"Contents";#N/A,#N/A,TRUE,"Basis";#N/A,#N/A,TRUE,"Inclusions";#N/A,#N/A,TRUE,"Exclusions";#N/A,#N/A,TRUE,"Areas";#N/A,#N/A,TRUE,"Summary";#N/A,#N/A,TRUE,"Detail"}</definedName>
    <definedName name="gdg" hidden="1">{#N/A,#N/A,TRUE,"Front";#N/A,#N/A,TRUE,"Simple Letter";#N/A,#N/A,TRUE,"Inside";#N/A,#N/A,TRUE,"Contents";#N/A,#N/A,TRUE,"Basis";#N/A,#N/A,TRUE,"Inclusions";#N/A,#N/A,TRUE,"Exclusions";#N/A,#N/A,TRUE,"Areas";#N/A,#N/A,TRUE,"Summary";#N/A,#N/A,TRUE,"Detail"}</definedName>
    <definedName name="gdryery" localSheetId="2" hidden="1">{#N/A,#N/A,TRUE,"Front";#N/A,#N/A,TRUE,"Simple Letter";#N/A,#N/A,TRUE,"Inside";#N/A,#N/A,TRUE,"Contents";#N/A,#N/A,TRUE,"Basis";#N/A,#N/A,TRUE,"Inclusions";#N/A,#N/A,TRUE,"Exclusions";#N/A,#N/A,TRUE,"Areas";#N/A,#N/A,TRUE,"Summary";#N/A,#N/A,TRUE,"Detail"}</definedName>
    <definedName name="gdryery" hidden="1">{#N/A,#N/A,TRUE,"Front";#N/A,#N/A,TRUE,"Simple Letter";#N/A,#N/A,TRUE,"Inside";#N/A,#N/A,TRUE,"Contents";#N/A,#N/A,TRUE,"Basis";#N/A,#N/A,TRUE,"Inclusions";#N/A,#N/A,TRUE,"Exclusions";#N/A,#N/A,TRUE,"Areas";#N/A,#N/A,TRUE,"Summary";#N/A,#N/A,TRUE,"Detail"}</definedName>
    <definedName name="geag" localSheetId="2" hidden="1">{#N/A,#N/A,TRUE,"Cover";#N/A,#N/A,TRUE,"Conts";#N/A,#N/A,TRUE,"VOS";#N/A,#N/A,TRUE,"Warrington";#N/A,#N/A,TRUE,"Widnes"}</definedName>
    <definedName name="geag" hidden="1">{#N/A,#N/A,TRUE,"Cover";#N/A,#N/A,TRUE,"Conts";#N/A,#N/A,TRUE,"VOS";#N/A,#N/A,TRUE,"Warrington";#N/A,#N/A,TRUE,"Widnes"}</definedName>
    <definedName name="gerger" localSheetId="2" hidden="1">{#N/A,#N/A,TRUE,"Cover";#N/A,#N/A,TRUE,"Conts";#N/A,#N/A,TRUE,"VOS";#N/A,#N/A,TRUE,"Warrington";#N/A,#N/A,TRUE,"Widnes"}</definedName>
    <definedName name="gerger" hidden="1">{#N/A,#N/A,TRUE,"Cover";#N/A,#N/A,TRUE,"Conts";#N/A,#N/A,TRUE,"VOS";#N/A,#N/A,TRUE,"Warrington";#N/A,#N/A,TRUE,"Widnes"}</definedName>
    <definedName name="gf" localSheetId="2" hidden="1">{#N/A,#N/A,TRUE,"Cover";#N/A,#N/A,TRUE,"Conts";#N/A,#N/A,TRUE,"VOS";#N/A,#N/A,TRUE,"Warrington";#N/A,#N/A,TRUE,"Widnes"}</definedName>
    <definedName name="gf" hidden="1">{#N/A,#N/A,TRUE,"Cover";#N/A,#N/A,TRUE,"Conts";#N/A,#N/A,TRUE,"VOS";#N/A,#N/A,TRUE,"Warrington";#N/A,#N/A,TRUE,"Widnes"}</definedName>
    <definedName name="gfdfdf" localSheetId="2" hidden="1">#REF!</definedName>
    <definedName name="gfdfdf" hidden="1">#REF!</definedName>
    <definedName name="gfdfg" hidden="1">{#N/A,#N/A,TRUE,"Front";#N/A,#N/A,TRUE,"Simple Letter";#N/A,#N/A,TRUE,"Inside";#N/A,#N/A,TRUE,"Contents";#N/A,#N/A,TRUE,"Basis";#N/A,#N/A,TRUE,"Inclusions";#N/A,#N/A,TRUE,"Exclusions";#N/A,#N/A,TRUE,"Areas";#N/A,#N/A,TRUE,"Summary";#N/A,#N/A,TRUE,"Detail"}</definedName>
    <definedName name="gfdgfdg" localSheetId="2"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ff" localSheetId="2" hidden="1">{"Total Indirect Manpower",#N/A,FALSE,"J";"Total Direct Manpower",#N/A,FALSE,"J";"Direct Structural Manpower",#N/A,FALSE,"J";"Direct Mechanical Manpower",#N/A,FALSE,"J";"Direct Piping Manpower",#N/A,FALSE,"J";"Direct Tanks Manpower",#N/A,FALSE,"J";"Direct ElecInstrSS Manpower",#N/A,FALSE,"J"}</definedName>
    <definedName name="gfff" hidden="1">{"Total Indirect Manpower",#N/A,FALSE,"J";"Total Direct Manpower",#N/A,FALSE,"J";"Direct Structural Manpower",#N/A,FALSE,"J";"Direct Mechanical Manpower",#N/A,FALSE,"J";"Direct Piping Manpower",#N/A,FALSE,"J";"Direct Tanks Manpower",#N/A,FALSE,"J";"Direct ElecInstrSS Manpower",#N/A,FALSE,"J"}</definedName>
    <definedName name="gfgdgd" localSheetId="2" hidden="1">{#N/A,#N/A,TRUE,"Front";#N/A,#N/A,TRUE,"Simple Letter";#N/A,#N/A,TRUE,"Inside";#N/A,#N/A,TRUE,"Contents";#N/A,#N/A,TRUE,"Basis";#N/A,#N/A,TRUE,"Inclusions";#N/A,#N/A,TRUE,"Exclusions";#N/A,#N/A,TRUE,"Areas";#N/A,#N/A,TRUE,"Summary";#N/A,#N/A,TRUE,"Detail"}</definedName>
    <definedName name="gfgdgd" hidden="1">{#N/A,#N/A,TRUE,"Front";#N/A,#N/A,TRUE,"Simple Letter";#N/A,#N/A,TRUE,"Inside";#N/A,#N/A,TRUE,"Contents";#N/A,#N/A,TRUE,"Basis";#N/A,#N/A,TRUE,"Inclusions";#N/A,#N/A,TRUE,"Exclusions";#N/A,#N/A,TRUE,"Areas";#N/A,#N/A,TRUE,"Summary";#N/A,#N/A,TRUE,"Detail"}</definedName>
    <definedName name="gfgfgfgfg" localSheetId="2"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2"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fhfdh" localSheetId="2" hidden="1">{#N/A,#N/A,TRUE,"Front";#N/A,#N/A,TRUE,"Simple Letter";#N/A,#N/A,TRUE,"Inside";#N/A,#N/A,TRUE,"Contents";#N/A,#N/A,TRUE,"Basis";#N/A,#N/A,TRUE,"Inclusions";#N/A,#N/A,TRUE,"Exclusions";#N/A,#N/A,TRUE,"Areas";#N/A,#N/A,TRUE,"Summary";#N/A,#N/A,TRUE,"Detail"}</definedName>
    <definedName name="gfhfdh" hidden="1">{#N/A,#N/A,TRUE,"Front";#N/A,#N/A,TRUE,"Simple Letter";#N/A,#N/A,TRUE,"Inside";#N/A,#N/A,TRUE,"Contents";#N/A,#N/A,TRUE,"Basis";#N/A,#N/A,TRUE,"Inclusions";#N/A,#N/A,TRUE,"Exclusions";#N/A,#N/A,TRUE,"Areas";#N/A,#N/A,TRUE,"Summary";#N/A,#N/A,TRUE,"Detail"}</definedName>
    <definedName name="gfhhgfgh" localSheetId="2" hidden="1">{#N/A,#N/A,TRUE,"Front";#N/A,#N/A,TRUE,"Simple Letter";#N/A,#N/A,TRUE,"Inside";#N/A,#N/A,TRUE,"Contents";#N/A,#N/A,TRUE,"Basis";#N/A,#N/A,TRUE,"Inclusions";#N/A,#N/A,TRUE,"Exclusions";#N/A,#N/A,TRUE,"Areas";#N/A,#N/A,TRUE,"Summary";#N/A,#N/A,TRUE,"Detail"}</definedName>
    <definedName name="gfhhgfgh" hidden="1">{#N/A,#N/A,TRUE,"Front";#N/A,#N/A,TRUE,"Simple Letter";#N/A,#N/A,TRUE,"Inside";#N/A,#N/A,TRUE,"Contents";#N/A,#N/A,TRUE,"Basis";#N/A,#N/A,TRUE,"Inclusions";#N/A,#N/A,TRUE,"Exclusions";#N/A,#N/A,TRUE,"Areas";#N/A,#N/A,TRUE,"Summary";#N/A,#N/A,TRUE,"Detail"}</definedName>
    <definedName name="gfhj" localSheetId="2" hidden="1">{#N/A,#N/A,TRUE,"Front";#N/A,#N/A,TRUE,"Simple Letter";#N/A,#N/A,TRUE,"Inside";#N/A,#N/A,TRUE,"Contents";#N/A,#N/A,TRUE,"Basis";#N/A,#N/A,TRUE,"Inclusions";#N/A,#N/A,TRUE,"Exclusions";#N/A,#N/A,TRUE,"Areas";#N/A,#N/A,TRUE,"Summary";#N/A,#N/A,TRUE,"Detail"}</definedName>
    <definedName name="gfhj" hidden="1">{#N/A,#N/A,TRUE,"Front";#N/A,#N/A,TRUE,"Simple Letter";#N/A,#N/A,TRUE,"Inside";#N/A,#N/A,TRUE,"Contents";#N/A,#N/A,TRUE,"Basis";#N/A,#N/A,TRUE,"Inclusions";#N/A,#N/A,TRUE,"Exclusions";#N/A,#N/A,TRUE,"Areas";#N/A,#N/A,TRUE,"Summary";#N/A,#N/A,TRUE,"Detail"}</definedName>
    <definedName name="gfjgfh" localSheetId="2" hidden="1">{#N/A,#N/A,FALSE,"CCTV"}</definedName>
    <definedName name="gfjgfh" hidden="1">{#N/A,#N/A,FALSE,"CCTV"}</definedName>
    <definedName name="gfjgfhfg" localSheetId="2" hidden="1">{#N/A,#N/A,FALSE,"CCTV"}</definedName>
    <definedName name="gfjgfhfg" hidden="1">{#N/A,#N/A,FALSE,"CCTV"}</definedName>
    <definedName name="gfrg" hidden="1">#REF!</definedName>
    <definedName name="gg" localSheetId="2" hidden="1">{#N/A,#N/A,TRUE,"RESUMEN ECON.";#N/A,#N/A,TRUE,"Costos de R.H.";#N/A,#N/A,TRUE,"COSTO HW";#N/A,#N/A,TRUE,"CUADROS";#N/A,#N/A,TRUE,"SCADA´s";#N/A,#N/A,TRUE,"PRECIOS EQUIPOS"}</definedName>
    <definedName name="gg" hidden="1">{#N/A,#N/A,FALSE,"SumG";#N/A,#N/A,FALSE,"ElecG";#N/A,#N/A,FALSE,"MechG";#N/A,#N/A,FALSE,"GeotG";#N/A,#N/A,FALSE,"PrcsG";#N/A,#N/A,FALSE,"TunnG";#N/A,#N/A,FALSE,"CivlG";#N/A,#N/A,FALSE,"NtwkG";#N/A,#N/A,FALSE,"EstgG";#N/A,#N/A,FALSE,"PEngG"}</definedName>
    <definedName name="ggdrgdfhyyj" localSheetId="2" hidden="1">{#N/A,#N/A,TRUE,"Cover";#N/A,#N/A,TRUE,"Conts";#N/A,#N/A,TRUE,"VOS";#N/A,#N/A,TRUE,"Warrington";#N/A,#N/A,TRUE,"Widnes"}</definedName>
    <definedName name="ggdrgdfhyyj" hidden="1">{#N/A,#N/A,TRUE,"Cover";#N/A,#N/A,TRUE,"Conts";#N/A,#N/A,TRUE,"VOS";#N/A,#N/A,TRUE,"Warrington";#N/A,#N/A,TRUE,"Widnes"}</definedName>
    <definedName name="gger" localSheetId="2" hidden="1">{#N/A,#N/A,TRUE,"Front";#N/A,#N/A,TRUE,"Simple Letter";#N/A,#N/A,TRUE,"Inside";#N/A,#N/A,TRUE,"Contents";#N/A,#N/A,TRUE,"Basis";#N/A,#N/A,TRUE,"Inclusions";#N/A,#N/A,TRUE,"Exclusions";#N/A,#N/A,TRUE,"Areas";#N/A,#N/A,TRUE,"Summary";#N/A,#N/A,TRUE,"Detail"}</definedName>
    <definedName name="gger" hidden="1">{#N/A,#N/A,TRUE,"Front";#N/A,#N/A,TRUE,"Simple Letter";#N/A,#N/A,TRUE,"Inside";#N/A,#N/A,TRUE,"Contents";#N/A,#N/A,TRUE,"Basis";#N/A,#N/A,TRUE,"Inclusions";#N/A,#N/A,TRUE,"Exclusions";#N/A,#N/A,TRUE,"Areas";#N/A,#N/A,TRUE,"Summary";#N/A,#N/A,TRUE,"Detail"}</definedName>
    <definedName name="ggg" localSheetId="2" hidden="1">{#N/A,#N/A,TRUE,"RESUMEN ECON.";#N/A,#N/A,TRUE,"Costos de R.H.";#N/A,#N/A,TRUE,"COSTO HW";#N/A,#N/A,TRUE,"CUADROS";#N/A,#N/A,TRUE,"SCADA´s";#N/A,#N/A,TRUE,"PRECIOS EQUIPOS"}</definedName>
    <definedName name="ggg" hidden="1">#REF!</definedName>
    <definedName name="gggg" localSheetId="2" hidden="1">#REF!</definedName>
    <definedName name="gggg" hidden="1">{#N/A,#N/A,FALSE,"SumD";#N/A,#N/A,FALSE,"ElecD";#N/A,#N/A,FALSE,"MechD";#N/A,#N/A,FALSE,"GeotD";#N/A,#N/A,FALSE,"PrcsD";#N/A,#N/A,FALSE,"TunnD";#N/A,#N/A,FALSE,"CivlD";#N/A,#N/A,FALSE,"NtwkD";#N/A,#N/A,FALSE,"EstgD";#N/A,#N/A,FALSE,"PEngD"}</definedName>
    <definedName name="ggggd" hidden="1">#REF!</definedName>
    <definedName name="ggggg" localSheetId="2" hidden="1">#REF!</definedName>
    <definedName name="ggggg" hidden="1">#REF!</definedName>
    <definedName name="ggjjhgg" localSheetId="2" hidden="1">{#N/A,#N/A,TRUE,"Front";#N/A,#N/A,TRUE,"Simple Letter";#N/A,#N/A,TRUE,"Inside";#N/A,#N/A,TRUE,"Contents";#N/A,#N/A,TRUE,"Basis";#N/A,#N/A,TRUE,"Inclusions";#N/A,#N/A,TRUE,"Exclusions";#N/A,#N/A,TRUE,"Areas";#N/A,#N/A,TRUE,"Summary";#N/A,#N/A,TRUE,"Detail"}</definedName>
    <definedName name="ggjjhgg" hidden="1">{#N/A,#N/A,TRUE,"Front";#N/A,#N/A,TRUE,"Simple Letter";#N/A,#N/A,TRUE,"Inside";#N/A,#N/A,TRUE,"Contents";#N/A,#N/A,TRUE,"Basis";#N/A,#N/A,TRUE,"Inclusions";#N/A,#N/A,TRUE,"Exclusions";#N/A,#N/A,TRUE,"Areas";#N/A,#N/A,TRUE,"Summary";#N/A,#N/A,TRUE,"Detail"}</definedName>
    <definedName name="ggrer" localSheetId="2" hidden="1">{#N/A,#N/A,TRUE,"Front";#N/A,#N/A,TRUE,"Simple Letter";#N/A,#N/A,TRUE,"Inside";#N/A,#N/A,TRUE,"Contents";#N/A,#N/A,TRUE,"Basis";#N/A,#N/A,TRUE,"Inclusions";#N/A,#N/A,TRUE,"Exclusions";#N/A,#N/A,TRUE,"Areas";#N/A,#N/A,TRUE,"Summary";#N/A,#N/A,TRUE,"Detail"}</definedName>
    <definedName name="ggrer" hidden="1">{#N/A,#N/A,TRUE,"Front";#N/A,#N/A,TRUE,"Simple Letter";#N/A,#N/A,TRUE,"Inside";#N/A,#N/A,TRUE,"Contents";#N/A,#N/A,TRUE,"Basis";#N/A,#N/A,TRUE,"Inclusions";#N/A,#N/A,TRUE,"Exclusions";#N/A,#N/A,TRUE,"Areas";#N/A,#N/A,TRUE,"Summary";#N/A,#N/A,TRUE,"Detail"}</definedName>
    <definedName name="ghdfhfgh" localSheetId="2" hidden="1">{#N/A,#N/A,TRUE,"Front";#N/A,#N/A,TRUE,"Simple Letter";#N/A,#N/A,TRUE,"Inside";#N/A,#N/A,TRUE,"Contents";#N/A,#N/A,TRUE,"Basis";#N/A,#N/A,TRUE,"Inclusions";#N/A,#N/A,TRUE,"Exclusions";#N/A,#N/A,TRUE,"Areas";#N/A,#N/A,TRUE,"Summary";#N/A,#N/A,TRUE,"Detail"}</definedName>
    <definedName name="ghdfhfgh" hidden="1">{#N/A,#N/A,TRUE,"Front";#N/A,#N/A,TRUE,"Simple Letter";#N/A,#N/A,TRUE,"Inside";#N/A,#N/A,TRUE,"Contents";#N/A,#N/A,TRUE,"Basis";#N/A,#N/A,TRUE,"Inclusions";#N/A,#N/A,TRUE,"Exclusions";#N/A,#N/A,TRUE,"Areas";#N/A,#N/A,TRUE,"Summary";#N/A,#N/A,TRUE,"Detail"}</definedName>
    <definedName name="ghffg" localSheetId="2" hidden="1">{#N/A,#N/A,TRUE,"Front";#N/A,#N/A,TRUE,"Simple Letter";#N/A,#N/A,TRUE,"Inside";#N/A,#N/A,TRUE,"Contents";#N/A,#N/A,TRUE,"Basis";#N/A,#N/A,TRUE,"Inclusions";#N/A,#N/A,TRUE,"Exclusions";#N/A,#N/A,TRUE,"Areas";#N/A,#N/A,TRUE,"Summary";#N/A,#N/A,TRUE,"Detail"}</definedName>
    <definedName name="ghffg" hidden="1">{#N/A,#N/A,TRUE,"Front";#N/A,#N/A,TRUE,"Simple Letter";#N/A,#N/A,TRUE,"Inside";#N/A,#N/A,TRUE,"Contents";#N/A,#N/A,TRUE,"Basis";#N/A,#N/A,TRUE,"Inclusions";#N/A,#N/A,TRUE,"Exclusions";#N/A,#N/A,TRUE,"Areas";#N/A,#N/A,TRUE,"Summary";#N/A,#N/A,TRUE,"Detail"}</definedName>
    <definedName name="ghffgh" localSheetId="2" hidden="1">{#N/A,#N/A,TRUE,"Front";#N/A,#N/A,TRUE,"Simple Letter";#N/A,#N/A,TRUE,"Inside";#N/A,#N/A,TRUE,"Contents";#N/A,#N/A,TRUE,"Basis";#N/A,#N/A,TRUE,"Inclusions";#N/A,#N/A,TRUE,"Exclusions";#N/A,#N/A,TRUE,"Areas";#N/A,#N/A,TRUE,"Summary";#N/A,#N/A,TRUE,"Detail"}</definedName>
    <definedName name="ghffgh" hidden="1">{#N/A,#N/A,TRUE,"Front";#N/A,#N/A,TRUE,"Simple Letter";#N/A,#N/A,TRUE,"Inside";#N/A,#N/A,TRUE,"Contents";#N/A,#N/A,TRUE,"Basis";#N/A,#N/A,TRUE,"Inclusions";#N/A,#N/A,TRUE,"Exclusions";#N/A,#N/A,TRUE,"Areas";#N/A,#N/A,TRUE,"Summary";#N/A,#N/A,TRUE,"Detail"}</definedName>
    <definedName name="ghffhg" localSheetId="2" hidden="1">{#N/A,#N/A,TRUE,"Front";#N/A,#N/A,TRUE,"Simple Letter";#N/A,#N/A,TRUE,"Inside";#N/A,#N/A,TRUE,"Contents";#N/A,#N/A,TRUE,"Basis";#N/A,#N/A,TRUE,"Inclusions";#N/A,#N/A,TRUE,"Exclusions";#N/A,#N/A,TRUE,"Areas";#N/A,#N/A,TRUE,"Summary";#N/A,#N/A,TRUE,"Detail"}</definedName>
    <definedName name="ghffhg" hidden="1">{#N/A,#N/A,TRUE,"Front";#N/A,#N/A,TRUE,"Simple Letter";#N/A,#N/A,TRUE,"Inside";#N/A,#N/A,TRUE,"Contents";#N/A,#N/A,TRUE,"Basis";#N/A,#N/A,TRUE,"Inclusions";#N/A,#N/A,TRUE,"Exclusions";#N/A,#N/A,TRUE,"Areas";#N/A,#N/A,TRUE,"Summary";#N/A,#N/A,TRUE,"Detail"}</definedName>
    <definedName name="ghfhfg" localSheetId="2" hidden="1">{#N/A,#N/A,TRUE,"Front";#N/A,#N/A,TRUE,"Simple Letter";#N/A,#N/A,TRUE,"Inside";#N/A,#N/A,TRUE,"Contents";#N/A,#N/A,TRUE,"Basis";#N/A,#N/A,TRUE,"Inclusions";#N/A,#N/A,TRUE,"Exclusions";#N/A,#N/A,TRUE,"Areas";#N/A,#N/A,TRUE,"Summary";#N/A,#N/A,TRUE,"Detail"}</definedName>
    <definedName name="ghfhfg" hidden="1">{#N/A,#N/A,TRUE,"Front";#N/A,#N/A,TRUE,"Simple Letter";#N/A,#N/A,TRUE,"Inside";#N/A,#N/A,TRUE,"Contents";#N/A,#N/A,TRUE,"Basis";#N/A,#N/A,TRUE,"Inclusions";#N/A,#N/A,TRUE,"Exclusions";#N/A,#N/A,TRUE,"Areas";#N/A,#N/A,TRUE,"Summary";#N/A,#N/A,TRUE,"Detail"}</definedName>
    <definedName name="ghfhg" localSheetId="2" hidden="1">{#N/A,#N/A,TRUE,"Front";#N/A,#N/A,TRUE,"Simple Letter";#N/A,#N/A,TRUE,"Inside";#N/A,#N/A,TRUE,"Contents";#N/A,#N/A,TRUE,"Basis";#N/A,#N/A,TRUE,"Inclusions";#N/A,#N/A,TRUE,"Exclusions";#N/A,#N/A,TRUE,"Areas";#N/A,#N/A,TRUE,"Summary";#N/A,#N/A,TRUE,"Detail"}</definedName>
    <definedName name="ghfhg" hidden="1">{#N/A,#N/A,TRUE,"Front";#N/A,#N/A,TRUE,"Simple Letter";#N/A,#N/A,TRUE,"Inside";#N/A,#N/A,TRUE,"Contents";#N/A,#N/A,TRUE,"Basis";#N/A,#N/A,TRUE,"Inclusions";#N/A,#N/A,TRUE,"Exclusions";#N/A,#N/A,TRUE,"Areas";#N/A,#N/A,TRUE,"Summary";#N/A,#N/A,TRUE,"Detail"}</definedName>
    <definedName name="ghfhggf" localSheetId="2" hidden="1">{#N/A,#N/A,TRUE,"Front";#N/A,#N/A,TRUE,"Simple Letter";#N/A,#N/A,TRUE,"Inside";#N/A,#N/A,TRUE,"Contents";#N/A,#N/A,TRUE,"Basis";#N/A,#N/A,TRUE,"Inclusions";#N/A,#N/A,TRUE,"Exclusions";#N/A,#N/A,TRUE,"Areas";#N/A,#N/A,TRUE,"Summary";#N/A,#N/A,TRUE,"Detail"}</definedName>
    <definedName name="ghfhggf" hidden="1">{#N/A,#N/A,TRUE,"Front";#N/A,#N/A,TRUE,"Simple Letter";#N/A,#N/A,TRUE,"Inside";#N/A,#N/A,TRUE,"Contents";#N/A,#N/A,TRUE,"Basis";#N/A,#N/A,TRUE,"Inclusions";#N/A,#N/A,TRUE,"Exclusions";#N/A,#N/A,TRUE,"Areas";#N/A,#N/A,TRUE,"Summary";#N/A,#N/A,TRUE,"Detail"}</definedName>
    <definedName name="ghgg" localSheetId="2" hidden="1">{#N/A,#N/A,TRUE,"Front";#N/A,#N/A,TRUE,"Simple Letter";#N/A,#N/A,TRUE,"Inside";#N/A,#N/A,TRUE,"Contents";#N/A,#N/A,TRUE,"Basis";#N/A,#N/A,TRUE,"Inclusions";#N/A,#N/A,TRUE,"Exclusions";#N/A,#N/A,TRUE,"Areas";#N/A,#N/A,TRUE,"Summary";#N/A,#N/A,TRUE,"Detail"}</definedName>
    <definedName name="ghgg" hidden="1">{#N/A,#N/A,TRUE,"Front";#N/A,#N/A,TRUE,"Simple Letter";#N/A,#N/A,TRUE,"Inside";#N/A,#N/A,TRUE,"Contents";#N/A,#N/A,TRUE,"Basis";#N/A,#N/A,TRUE,"Inclusions";#N/A,#N/A,TRUE,"Exclusions";#N/A,#N/A,TRUE,"Areas";#N/A,#N/A,TRUE,"Summary";#N/A,#N/A,TRUE,"Detail"}</definedName>
    <definedName name="ghggg" localSheetId="2"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ghd" localSheetId="2" hidden="1">{#N/A,#N/A,TRUE,"Front";#N/A,#N/A,TRUE,"Simple Letter";#N/A,#N/A,TRUE,"Inside";#N/A,#N/A,TRUE,"Contents";#N/A,#N/A,TRUE,"Basis";#N/A,#N/A,TRUE,"Inclusions";#N/A,#N/A,TRUE,"Exclusions";#N/A,#N/A,TRUE,"Areas";#N/A,#N/A,TRUE,"Summary";#N/A,#N/A,TRUE,"Detail"}</definedName>
    <definedName name="ghghd" hidden="1">{#N/A,#N/A,TRUE,"Front";#N/A,#N/A,TRUE,"Simple Letter";#N/A,#N/A,TRUE,"Inside";#N/A,#N/A,TRUE,"Contents";#N/A,#N/A,TRUE,"Basis";#N/A,#N/A,TRUE,"Inclusions";#N/A,#N/A,TRUE,"Exclusions";#N/A,#N/A,TRUE,"Areas";#N/A,#N/A,TRUE,"Summary";#N/A,#N/A,TRUE,"Detail"}</definedName>
    <definedName name="ghghgf" localSheetId="2" hidden="1">{#N/A,#N/A,TRUE,"Front";#N/A,#N/A,TRUE,"Simple Letter";#N/A,#N/A,TRUE,"Inside";#N/A,#N/A,TRUE,"Contents";#N/A,#N/A,TRUE,"Basis";#N/A,#N/A,TRUE,"Inclusions";#N/A,#N/A,TRUE,"Exclusions";#N/A,#N/A,TRUE,"Areas";#N/A,#N/A,TRUE,"Summary";#N/A,#N/A,TRUE,"Detail"}</definedName>
    <definedName name="ghghgf" hidden="1">{#N/A,#N/A,TRUE,"Front";#N/A,#N/A,TRUE,"Simple Letter";#N/A,#N/A,TRUE,"Inside";#N/A,#N/A,TRUE,"Contents";#N/A,#N/A,TRUE,"Basis";#N/A,#N/A,TRUE,"Inclusions";#N/A,#N/A,TRUE,"Exclusions";#N/A,#N/A,TRUE,"Areas";#N/A,#N/A,TRUE,"Summary";#N/A,#N/A,TRUE,"Detail"}</definedName>
    <definedName name="ghhg" localSheetId="2" hidden="1">{#N/A,#N/A,TRUE,"Front";#N/A,#N/A,TRUE,"Simple Letter";#N/A,#N/A,TRUE,"Inside";#N/A,#N/A,TRUE,"Contents";#N/A,#N/A,TRUE,"Basis";#N/A,#N/A,TRUE,"Inclusions";#N/A,#N/A,TRUE,"Exclusions";#N/A,#N/A,TRUE,"Areas";#N/A,#N/A,TRUE,"Summary";#N/A,#N/A,TRUE,"Detail"}</definedName>
    <definedName name="ghhg" hidden="1">{#N/A,#N/A,TRUE,"Front";#N/A,#N/A,TRUE,"Simple Letter";#N/A,#N/A,TRUE,"Inside";#N/A,#N/A,TRUE,"Contents";#N/A,#N/A,TRUE,"Basis";#N/A,#N/A,TRUE,"Inclusions";#N/A,#N/A,TRUE,"Exclusions";#N/A,#N/A,TRUE,"Areas";#N/A,#N/A,TRUE,"Summary";#N/A,#N/A,TRUE,"Detail"}</definedName>
    <definedName name="ghj" localSheetId="2" hidden="1">{"'Break down'!$A$4"}</definedName>
    <definedName name="ghj" hidden="1">{#N/A,#N/A,TRUE,"Front";#N/A,#N/A,TRUE,"Simple Letter";#N/A,#N/A,TRUE,"Inside";#N/A,#N/A,TRUE,"Contents";#N/A,#N/A,TRUE,"Basis";#N/A,#N/A,TRUE,"Inclusions";#N/A,#N/A,TRUE,"Exclusions";#N/A,#N/A,TRUE,"Areas";#N/A,#N/A,TRUE,"Summary";#N/A,#N/A,TRUE,"Detail"}</definedName>
    <definedName name="ghsdhth" localSheetId="2" hidden="1">{#N/A,#N/A,TRUE,"Cover";#N/A,#N/A,TRUE,"Conts";#N/A,#N/A,TRUE,"VOS";#N/A,#N/A,TRUE,"Warrington";#N/A,#N/A,TRUE,"Widnes"}</definedName>
    <definedName name="ghsdhth" hidden="1">{#N/A,#N/A,TRUE,"Cover";#N/A,#N/A,TRUE,"Conts";#N/A,#N/A,TRUE,"VOS";#N/A,#N/A,TRUE,"Warrington";#N/A,#N/A,TRUE,"Widnes"}</definedName>
    <definedName name="ghsg" localSheetId="2" hidden="1">{#N/A,#N/A,TRUE,"Cover";#N/A,#N/A,TRUE,"Conts";#N/A,#N/A,TRUE,"VOS";#N/A,#N/A,TRUE,"Warrington";#N/A,#N/A,TRUE,"Widnes"}</definedName>
    <definedName name="ghsg" hidden="1">{#N/A,#N/A,TRUE,"Cover";#N/A,#N/A,TRUE,"Conts";#N/A,#N/A,TRUE,"VOS";#N/A,#N/A,TRUE,"Warrington";#N/A,#N/A,TRUE,"Widnes"}</definedName>
    <definedName name="gij" localSheetId="2" hidden="1">{"'Break down'!$A$4"}</definedName>
    <definedName name="gij" hidden="1">{"'Break down'!$A$4"}</definedName>
    <definedName name="gjahgkj" localSheetId="2" hidden="1">{#N/A,#N/A,TRUE,"Cover";#N/A,#N/A,TRUE,"Conts";#N/A,#N/A,TRUE,"VOS";#N/A,#N/A,TRUE,"Warrington";#N/A,#N/A,TRUE,"Widnes"}</definedName>
    <definedName name="gjahgkj" hidden="1">{#N/A,#N/A,TRUE,"Cover";#N/A,#N/A,TRUE,"Conts";#N/A,#N/A,TRUE,"VOS";#N/A,#N/A,TRUE,"Warrington";#N/A,#N/A,TRUE,"Widnes"}</definedName>
    <definedName name="gjgjjhgj" localSheetId="2" hidden="1">{#N/A,#N/A,TRUE,"Front";#N/A,#N/A,TRUE,"Simple Letter";#N/A,#N/A,TRUE,"Inside";#N/A,#N/A,TRUE,"Contents";#N/A,#N/A,TRUE,"Basis";#N/A,#N/A,TRUE,"Inclusions";#N/A,#N/A,TRUE,"Exclusions";#N/A,#N/A,TRUE,"Areas";#N/A,#N/A,TRUE,"Summary";#N/A,#N/A,TRUE,"Detail"}</definedName>
    <definedName name="gjgjjhgj" hidden="1">{#N/A,#N/A,TRUE,"Front";#N/A,#N/A,TRUE,"Simple Letter";#N/A,#N/A,TRUE,"Inside";#N/A,#N/A,TRUE,"Contents";#N/A,#N/A,TRUE,"Basis";#N/A,#N/A,TRUE,"Inclusions";#N/A,#N/A,TRUE,"Exclusions";#N/A,#N/A,TRUE,"Areas";#N/A,#N/A,TRUE,"Summary";#N/A,#N/A,TRUE,"Detail"}</definedName>
    <definedName name="gjkkl" localSheetId="2" hidden="1">{#N/A,#N/A,TRUE,"Cover";#N/A,#N/A,TRUE,"Conts";#N/A,#N/A,TRUE,"VOS";#N/A,#N/A,TRUE,"Warrington";#N/A,#N/A,TRUE,"Widnes"}</definedName>
    <definedName name="gjkkl" hidden="1">{#N/A,#N/A,TRUE,"Cover";#N/A,#N/A,TRUE,"Conts";#N/A,#N/A,TRUE,"VOS";#N/A,#N/A,TRUE,"Warrington";#N/A,#N/A,TRUE,"Widnes"}</definedName>
    <definedName name="gmnhhg" localSheetId="2" hidden="1">{#N/A,#N/A,TRUE,"Front";#N/A,#N/A,TRUE,"Simple Letter";#N/A,#N/A,TRUE,"Inside";#N/A,#N/A,TRUE,"Contents";#N/A,#N/A,TRUE,"Basis";#N/A,#N/A,TRUE,"Inclusions";#N/A,#N/A,TRUE,"Exclusions";#N/A,#N/A,TRUE,"Areas";#N/A,#N/A,TRUE,"Summary";#N/A,#N/A,TRUE,"Detail"}</definedName>
    <definedName name="gmnhhg" hidden="1">{#N/A,#N/A,TRUE,"Front";#N/A,#N/A,TRUE,"Simple Letter";#N/A,#N/A,TRUE,"Inside";#N/A,#N/A,TRUE,"Contents";#N/A,#N/A,TRUE,"Basis";#N/A,#N/A,TRUE,"Inclusions";#N/A,#N/A,TRUE,"Exclusions";#N/A,#N/A,TRUE,"Areas";#N/A,#N/A,TRUE,"Summary";#N/A,#N/A,TRUE,"Detail"}</definedName>
    <definedName name="gqg" localSheetId="2" hidden="1">{#N/A,#N/A,TRUE,"Front";#N/A,#N/A,TRUE,"Simple Letter";#N/A,#N/A,TRUE,"Inside";#N/A,#N/A,TRUE,"Contents";#N/A,#N/A,TRUE,"Basis";#N/A,#N/A,TRUE,"Inclusions";#N/A,#N/A,TRUE,"Exclusions";#N/A,#N/A,TRUE,"Areas";#N/A,#N/A,TRUE,"Summary";#N/A,#N/A,TRUE,"Detail"}</definedName>
    <definedName name="gqg" hidden="1">{#N/A,#N/A,TRUE,"Front";#N/A,#N/A,TRUE,"Simple Letter";#N/A,#N/A,TRUE,"Inside";#N/A,#N/A,TRUE,"Contents";#N/A,#N/A,TRUE,"Basis";#N/A,#N/A,TRUE,"Inclusions";#N/A,#N/A,TRUE,"Exclusions";#N/A,#N/A,TRUE,"Areas";#N/A,#N/A,TRUE,"Summary";#N/A,#N/A,TRUE,"Detail"}</definedName>
    <definedName name="gr" localSheetId="2" hidden="1">#REF!</definedName>
    <definedName name="gr" hidden="1">#REF!</definedName>
    <definedName name="gregt" localSheetId="2" hidden="1">{#N/A,#N/A,TRUE,"Front";#N/A,#N/A,TRUE,"Simple Letter";#N/A,#N/A,TRUE,"Inside";#N/A,#N/A,TRUE,"Contents";#N/A,#N/A,TRUE,"Basis";#N/A,#N/A,TRUE,"Inclusions";#N/A,#N/A,TRUE,"Exclusions";#N/A,#N/A,TRUE,"Areas";#N/A,#N/A,TRUE,"Summary";#N/A,#N/A,TRUE,"Detail"}</definedName>
    <definedName name="gregt" hidden="1">{#N/A,#N/A,TRUE,"Front";#N/A,#N/A,TRUE,"Simple Letter";#N/A,#N/A,TRUE,"Inside";#N/A,#N/A,TRUE,"Contents";#N/A,#N/A,TRUE,"Basis";#N/A,#N/A,TRUE,"Inclusions";#N/A,#N/A,TRUE,"Exclusions";#N/A,#N/A,TRUE,"Areas";#N/A,#N/A,TRUE,"Summary";#N/A,#N/A,TRUE,"Detail"}</definedName>
    <definedName name="grere" localSheetId="2" hidden="1">{#N/A,#N/A,TRUE,"Front";#N/A,#N/A,TRUE,"Simple Letter";#N/A,#N/A,TRUE,"Inside";#N/A,#N/A,TRUE,"Contents";#N/A,#N/A,TRUE,"Basis";#N/A,#N/A,TRUE,"Inclusions";#N/A,#N/A,TRUE,"Exclusions";#N/A,#N/A,TRUE,"Areas";#N/A,#N/A,TRUE,"Summary";#N/A,#N/A,TRUE,"Detail"}</definedName>
    <definedName name="grere" hidden="1">{#N/A,#N/A,TRUE,"Front";#N/A,#N/A,TRUE,"Simple Letter";#N/A,#N/A,TRUE,"Inside";#N/A,#N/A,TRUE,"Contents";#N/A,#N/A,TRUE,"Basis";#N/A,#N/A,TRUE,"Inclusions";#N/A,#N/A,TRUE,"Exclusions";#N/A,#N/A,TRUE,"Areas";#N/A,#N/A,TRUE,"Summary";#N/A,#N/A,TRUE,"Detail"}</definedName>
    <definedName name="grerg" localSheetId="2" hidden="1">{#N/A,#N/A,TRUE,"Front";#N/A,#N/A,TRUE,"Simple Letter";#N/A,#N/A,TRUE,"Inside";#N/A,#N/A,TRUE,"Contents";#N/A,#N/A,TRUE,"Basis";#N/A,#N/A,TRUE,"Inclusions";#N/A,#N/A,TRUE,"Exclusions";#N/A,#N/A,TRUE,"Areas";#N/A,#N/A,TRUE,"Summary";#N/A,#N/A,TRUE,"Detail"}</definedName>
    <definedName name="grerg" hidden="1">{#N/A,#N/A,TRUE,"Front";#N/A,#N/A,TRUE,"Simple Letter";#N/A,#N/A,TRUE,"Inside";#N/A,#N/A,TRUE,"Contents";#N/A,#N/A,TRUE,"Basis";#N/A,#N/A,TRUE,"Inclusions";#N/A,#N/A,TRUE,"Exclusions";#N/A,#N/A,TRUE,"Areas";#N/A,#N/A,TRUE,"Summary";#N/A,#N/A,TRUE,"Detail"}</definedName>
    <definedName name="groove" localSheetId="2" hidden="1">{#N/A,#N/A,TRUE,"Front";#N/A,#N/A,TRUE,"Simple Letter";#N/A,#N/A,TRUE,"Inside";#N/A,#N/A,TRUE,"Contents";#N/A,#N/A,TRUE,"Basis";#N/A,#N/A,TRUE,"Inclusions";#N/A,#N/A,TRUE,"Exclusions";#N/A,#N/A,TRUE,"Areas";#N/A,#N/A,TRUE,"Summary";#N/A,#N/A,TRUE,"Detail"}</definedName>
    <definedName name="groove" hidden="1">{#N/A,#N/A,TRUE,"Front";#N/A,#N/A,TRUE,"Simple Letter";#N/A,#N/A,TRUE,"Inside";#N/A,#N/A,TRUE,"Contents";#N/A,#N/A,TRUE,"Basis";#N/A,#N/A,TRUE,"Inclusions";#N/A,#N/A,TRUE,"Exclusions";#N/A,#N/A,TRUE,"Areas";#N/A,#N/A,TRUE,"Summary";#N/A,#N/A,TRUE,"Detail"}</definedName>
    <definedName name="grrertert" localSheetId="2" hidden="1">{#N/A,#N/A,TRUE,"Front";#N/A,#N/A,TRUE,"Simple Letter";#N/A,#N/A,TRUE,"Inside";#N/A,#N/A,TRUE,"Contents";#N/A,#N/A,TRUE,"Basis";#N/A,#N/A,TRUE,"Inclusions";#N/A,#N/A,TRUE,"Exclusions";#N/A,#N/A,TRUE,"Areas";#N/A,#N/A,TRUE,"Summary";#N/A,#N/A,TRUE,"Detail"}</definedName>
    <definedName name="grrertert" hidden="1">{#N/A,#N/A,TRUE,"Front";#N/A,#N/A,TRUE,"Simple Letter";#N/A,#N/A,TRUE,"Inside";#N/A,#N/A,TRUE,"Contents";#N/A,#N/A,TRUE,"Basis";#N/A,#N/A,TRUE,"Inclusions";#N/A,#N/A,TRUE,"Exclusions";#N/A,#N/A,TRUE,"Areas";#N/A,#N/A,TRUE,"Summary";#N/A,#N/A,TRUE,"Detail"}</definedName>
    <definedName name="grttr" localSheetId="2" hidden="1">{#N/A,#N/A,TRUE,"Front";#N/A,#N/A,TRUE,"Simple Letter";#N/A,#N/A,TRUE,"Inside";#N/A,#N/A,TRUE,"Contents";#N/A,#N/A,TRUE,"Basis";#N/A,#N/A,TRUE,"Inclusions";#N/A,#N/A,TRUE,"Exclusions";#N/A,#N/A,TRUE,"Areas";#N/A,#N/A,TRUE,"Summary";#N/A,#N/A,TRUE,"Detail"}</definedName>
    <definedName name="grttr" hidden="1">{#N/A,#N/A,TRUE,"Front";#N/A,#N/A,TRUE,"Simple Letter";#N/A,#N/A,TRUE,"Inside";#N/A,#N/A,TRUE,"Contents";#N/A,#N/A,TRUE,"Basis";#N/A,#N/A,TRUE,"Inclusions";#N/A,#N/A,TRUE,"Exclusions";#N/A,#N/A,TRUE,"Areas";#N/A,#N/A,TRUE,"Summary";#N/A,#N/A,TRUE,"Detail"}</definedName>
    <definedName name="gsd" localSheetId="2" hidden="1">{#N/A,#N/A,TRUE,"Front";#N/A,#N/A,TRUE,"Simple Letter";#N/A,#N/A,TRUE,"Inside";#N/A,#N/A,TRUE,"Contents";#N/A,#N/A,TRUE,"Basis";#N/A,#N/A,TRUE,"Inclusions";#N/A,#N/A,TRUE,"Exclusions";#N/A,#N/A,TRUE,"Areas";#N/A,#N/A,TRUE,"Summary";#N/A,#N/A,TRUE,"Detail"}</definedName>
    <definedName name="gsd" hidden="1">{#N/A,#N/A,TRUE,"Front";#N/A,#N/A,TRUE,"Simple Letter";#N/A,#N/A,TRUE,"Inside";#N/A,#N/A,TRUE,"Contents";#N/A,#N/A,TRUE,"Basis";#N/A,#N/A,TRUE,"Inclusions";#N/A,#N/A,TRUE,"Exclusions";#N/A,#N/A,TRUE,"Areas";#N/A,#N/A,TRUE,"Summary";#N/A,#N/A,TRUE,"Detail"}</definedName>
    <definedName name="gsdfg" localSheetId="2" hidden="1">{#N/A,#N/A,TRUE,"Front";#N/A,#N/A,TRUE,"Simple Letter";#N/A,#N/A,TRUE,"Inside";#N/A,#N/A,TRUE,"Contents";#N/A,#N/A,TRUE,"Basis";#N/A,#N/A,TRUE,"Inclusions";#N/A,#N/A,TRUE,"Exclusions";#N/A,#N/A,TRUE,"Areas";#N/A,#N/A,TRUE,"Summary";#N/A,#N/A,TRUE,"Detail"}</definedName>
    <definedName name="gsdfg" hidden="1">{#N/A,#N/A,TRUE,"Front";#N/A,#N/A,TRUE,"Simple Letter";#N/A,#N/A,TRUE,"Inside";#N/A,#N/A,TRUE,"Contents";#N/A,#N/A,TRUE,"Basis";#N/A,#N/A,TRUE,"Inclusions";#N/A,#N/A,TRUE,"Exclusions";#N/A,#N/A,TRUE,"Areas";#N/A,#N/A,TRUE,"Summary";#N/A,#N/A,TRUE,"Detail"}</definedName>
    <definedName name="gsdga" localSheetId="2" hidden="1">{#N/A,#N/A,TRUE,"Front";#N/A,#N/A,TRUE,"Simple Letter";#N/A,#N/A,TRUE,"Inside";#N/A,#N/A,TRUE,"Contents";#N/A,#N/A,TRUE,"Basis";#N/A,#N/A,TRUE,"Inclusions";#N/A,#N/A,TRUE,"Exclusions";#N/A,#N/A,TRUE,"Areas";#N/A,#N/A,TRUE,"Summary";#N/A,#N/A,TRUE,"Detail"}</definedName>
    <definedName name="gsdga" hidden="1">{#N/A,#N/A,TRUE,"Front";#N/A,#N/A,TRUE,"Simple Letter";#N/A,#N/A,TRUE,"Inside";#N/A,#N/A,TRUE,"Contents";#N/A,#N/A,TRUE,"Basis";#N/A,#N/A,TRUE,"Inclusions";#N/A,#N/A,TRUE,"Exclusions";#N/A,#N/A,TRUE,"Areas";#N/A,#N/A,TRUE,"Summary";#N/A,#N/A,TRUE,"Detail"}</definedName>
    <definedName name="gsdgdf" localSheetId="2" hidden="1">{#N/A,#N/A,TRUE,"Front";#N/A,#N/A,TRUE,"Simple Letter";#N/A,#N/A,TRUE,"Inside";#N/A,#N/A,TRUE,"Contents";#N/A,#N/A,TRUE,"Basis";#N/A,#N/A,TRUE,"Inclusions";#N/A,#N/A,TRUE,"Exclusions";#N/A,#N/A,TRUE,"Areas";#N/A,#N/A,TRUE,"Summary";#N/A,#N/A,TRUE,"Detail"}</definedName>
    <definedName name="gsdgdf" hidden="1">{#N/A,#N/A,TRUE,"Front";#N/A,#N/A,TRUE,"Simple Letter";#N/A,#N/A,TRUE,"Inside";#N/A,#N/A,TRUE,"Contents";#N/A,#N/A,TRUE,"Basis";#N/A,#N/A,TRUE,"Inclusions";#N/A,#N/A,TRUE,"Exclusions";#N/A,#N/A,TRUE,"Areas";#N/A,#N/A,TRUE,"Summary";#N/A,#N/A,TRUE,"Detail"}</definedName>
    <definedName name="GSTSYAEYAEYEYET" localSheetId="2" hidden="1">{"'Break down'!$A$4"}</definedName>
    <definedName name="GSTSYAEYAEYEYET" hidden="1">{"'Break down'!$A$4"}</definedName>
    <definedName name="gtrghr" localSheetId="2" hidden="1">{#N/A,#N/A,TRUE,"Cover";#N/A,#N/A,TRUE,"Conts";#N/A,#N/A,TRUE,"VOS";#N/A,#N/A,TRUE,"Warrington";#N/A,#N/A,TRUE,"Widnes"}</definedName>
    <definedName name="gtrghr" hidden="1">{#N/A,#N/A,TRUE,"Cover";#N/A,#N/A,TRUE,"Conts";#N/A,#N/A,TRUE,"VOS";#N/A,#N/A,TRUE,"Warrington";#N/A,#N/A,TRUE,"Widnes"}</definedName>
    <definedName name="gvuftui" hidden="1">#REF!</definedName>
    <definedName name="gwefh" localSheetId="2" hidden="1">{#N/A,#N/A,TRUE,"Front";#N/A,#N/A,TRUE,"Simple Letter";#N/A,#N/A,TRUE,"Inside";#N/A,#N/A,TRUE,"Contents";#N/A,#N/A,TRUE,"Basis";#N/A,#N/A,TRUE,"Inclusions";#N/A,#N/A,TRUE,"Exclusions";#N/A,#N/A,TRUE,"Areas";#N/A,#N/A,TRUE,"Summary";#N/A,#N/A,TRUE,"Detail"}</definedName>
    <definedName name="gwefh" hidden="1">{#N/A,#N/A,TRUE,"Front";#N/A,#N/A,TRUE,"Simple Letter";#N/A,#N/A,TRUE,"Inside";#N/A,#N/A,TRUE,"Contents";#N/A,#N/A,TRUE,"Basis";#N/A,#N/A,TRUE,"Inclusions";#N/A,#N/A,TRUE,"Exclusions";#N/A,#N/A,TRUE,"Areas";#N/A,#N/A,TRUE,"Summary";#N/A,#N/A,TRUE,"Detail"}</definedName>
    <definedName name="gWEG" localSheetId="2" hidden="1">{#N/A,#N/A,TRUE,"Cover";#N/A,#N/A,TRUE,"Conts";#N/A,#N/A,TRUE,"VOS";#N/A,#N/A,TRUE,"Warrington";#N/A,#N/A,TRUE,"Widnes"}</definedName>
    <definedName name="gWEG" hidden="1">{#N/A,#N/A,TRUE,"Cover";#N/A,#N/A,TRUE,"Conts";#N/A,#N/A,TRUE,"VOS";#N/A,#N/A,TRUE,"Warrington";#N/A,#N/A,TRUE,"Widnes"}</definedName>
    <definedName name="GWEGTew" localSheetId="2" hidden="1">{#N/A,#N/A,TRUE,"Cover";#N/A,#N/A,TRUE,"Conts";#N/A,#N/A,TRUE,"VOS";#N/A,#N/A,TRUE,"Warrington";#N/A,#N/A,TRUE,"Widnes"}</definedName>
    <definedName name="GWEGTew" hidden="1">{#N/A,#N/A,TRUE,"Cover";#N/A,#N/A,TRUE,"Conts";#N/A,#N/A,TRUE,"VOS";#N/A,#N/A,TRUE,"Warrington";#N/A,#N/A,TRUE,"Widnes"}</definedName>
    <definedName name="gwgtergyr" localSheetId="2" hidden="1">{#N/A,#N/A,TRUE,"Cover";#N/A,#N/A,TRUE,"Conts";#N/A,#N/A,TRUE,"VOS";#N/A,#N/A,TRUE,"Warrington";#N/A,#N/A,TRUE,"Widnes"}</definedName>
    <definedName name="gwgtergyr" hidden="1">{#N/A,#N/A,TRUE,"Cover";#N/A,#N/A,TRUE,"Conts";#N/A,#N/A,TRUE,"VOS";#N/A,#N/A,TRUE,"Warrington";#N/A,#N/A,TRUE,"Widnes"}</definedName>
    <definedName name="hb" localSheetId="2" hidden="1">{#N/A,#N/A,TRUE,"Cover";#N/A,#N/A,TRUE,"Conts";#N/A,#N/A,TRUE,"VOS";#N/A,#N/A,TRUE,"Warrington";#N/A,#N/A,TRUE,"Widnes"}</definedName>
    <definedName name="hb" hidden="1">{#N/A,#N/A,TRUE,"Cover";#N/A,#N/A,TRUE,"Conts";#N/A,#N/A,TRUE,"VOS";#N/A,#N/A,TRUE,"Warrington";#N/A,#N/A,TRUE,"Widnes"}</definedName>
    <definedName name="hdfhdhf" localSheetId="2" hidden="1">{#N/A,#N/A,TRUE,"Front";#N/A,#N/A,TRUE,"Simple Letter";#N/A,#N/A,TRUE,"Inside";#N/A,#N/A,TRUE,"Contents";#N/A,#N/A,TRUE,"Basis";#N/A,#N/A,TRUE,"Inclusions";#N/A,#N/A,TRUE,"Exclusions";#N/A,#N/A,TRUE,"Areas";#N/A,#N/A,TRUE,"Summary";#N/A,#N/A,TRUE,"Detail"}</definedName>
    <definedName name="hdfhdhf" hidden="1">{#N/A,#N/A,TRUE,"Front";#N/A,#N/A,TRUE,"Simple Letter";#N/A,#N/A,TRUE,"Inside";#N/A,#N/A,TRUE,"Contents";#N/A,#N/A,TRUE,"Basis";#N/A,#N/A,TRUE,"Inclusions";#N/A,#N/A,TRUE,"Exclusions";#N/A,#N/A,TRUE,"Areas";#N/A,#N/A,TRUE,"Summary";#N/A,#N/A,TRUE,"Detail"}</definedName>
    <definedName name="hfdgfdg" localSheetId="2" hidden="1">{#N/A,#N/A,FALSE,"CCTV"}</definedName>
    <definedName name="hfdgfdg" hidden="1">{#N/A,#N/A,FALSE,"CCTV"}</definedName>
    <definedName name="hfdhd" localSheetId="2" hidden="1">{#N/A,#N/A,TRUE,"Front";#N/A,#N/A,TRUE,"Simple Letter";#N/A,#N/A,TRUE,"Inside";#N/A,#N/A,TRUE,"Contents";#N/A,#N/A,TRUE,"Basis";#N/A,#N/A,TRUE,"Inclusions";#N/A,#N/A,TRUE,"Exclusions";#N/A,#N/A,TRUE,"Areas";#N/A,#N/A,TRUE,"Summary";#N/A,#N/A,TRUE,"Detail"}</definedName>
    <definedName name="hfdhd" hidden="1">{#N/A,#N/A,TRUE,"Front";#N/A,#N/A,TRUE,"Simple Letter";#N/A,#N/A,TRUE,"Inside";#N/A,#N/A,TRUE,"Contents";#N/A,#N/A,TRUE,"Basis";#N/A,#N/A,TRUE,"Inclusions";#N/A,#N/A,TRUE,"Exclusions";#N/A,#N/A,TRUE,"Areas";#N/A,#N/A,TRUE,"Summary";#N/A,#N/A,TRUE,"Detail"}</definedName>
    <definedName name="hfgffh" localSheetId="2" hidden="1">{#N/A,#N/A,TRUE,"Front";#N/A,#N/A,TRUE,"Simple Letter";#N/A,#N/A,TRUE,"Inside";#N/A,#N/A,TRUE,"Contents";#N/A,#N/A,TRUE,"Basis";#N/A,#N/A,TRUE,"Inclusions";#N/A,#N/A,TRUE,"Exclusions";#N/A,#N/A,TRUE,"Areas";#N/A,#N/A,TRUE,"Summary";#N/A,#N/A,TRUE,"Detail"}</definedName>
    <definedName name="hfgffh" hidden="1">{#N/A,#N/A,TRUE,"Front";#N/A,#N/A,TRUE,"Simple Letter";#N/A,#N/A,TRUE,"Inside";#N/A,#N/A,TRUE,"Contents";#N/A,#N/A,TRUE,"Basis";#N/A,#N/A,TRUE,"Inclusions";#N/A,#N/A,TRUE,"Exclusions";#N/A,#N/A,TRUE,"Areas";#N/A,#N/A,TRUE,"Summary";#N/A,#N/A,TRUE,"Detail"}</definedName>
    <definedName name="hfgfhfhhgfgh" localSheetId="2" hidden="1">{#N/A,#N/A,TRUE,"Front";#N/A,#N/A,TRUE,"Simple Letter";#N/A,#N/A,TRUE,"Inside";#N/A,#N/A,TRUE,"Contents";#N/A,#N/A,TRUE,"Basis";#N/A,#N/A,TRUE,"Inclusions";#N/A,#N/A,TRUE,"Exclusions";#N/A,#N/A,TRUE,"Areas";#N/A,#N/A,TRUE,"Summary";#N/A,#N/A,TRUE,"Detail"}</definedName>
    <definedName name="hfgfhfhhgfgh" hidden="1">{#N/A,#N/A,TRUE,"Front";#N/A,#N/A,TRUE,"Simple Letter";#N/A,#N/A,TRUE,"Inside";#N/A,#N/A,TRUE,"Contents";#N/A,#N/A,TRUE,"Basis";#N/A,#N/A,TRUE,"Inclusions";#N/A,#N/A,TRUE,"Exclusions";#N/A,#N/A,TRUE,"Areas";#N/A,#N/A,TRUE,"Summary";#N/A,#N/A,TRUE,"Detail"}</definedName>
    <definedName name="hfghf" localSheetId="2" hidden="1">{#N/A,#N/A,TRUE,"Front";#N/A,#N/A,TRUE,"Simple Letter";#N/A,#N/A,TRUE,"Inside";#N/A,#N/A,TRUE,"Contents";#N/A,#N/A,TRUE,"Basis";#N/A,#N/A,TRUE,"Inclusions";#N/A,#N/A,TRUE,"Exclusions";#N/A,#N/A,TRUE,"Areas";#N/A,#N/A,TRUE,"Summary";#N/A,#N/A,TRUE,"Detail"}</definedName>
    <definedName name="hfghf" hidden="1">{#N/A,#N/A,TRUE,"Front";#N/A,#N/A,TRUE,"Simple Letter";#N/A,#N/A,TRUE,"Inside";#N/A,#N/A,TRUE,"Contents";#N/A,#N/A,TRUE,"Basis";#N/A,#N/A,TRUE,"Inclusions";#N/A,#N/A,TRUE,"Exclusions";#N/A,#N/A,TRUE,"Areas";#N/A,#N/A,TRUE,"Summary";#N/A,#N/A,TRUE,"Detail"}</definedName>
    <definedName name="hfghfh" localSheetId="2" hidden="1">{#N/A,#N/A,TRUE,"Front";#N/A,#N/A,TRUE,"Simple Letter";#N/A,#N/A,TRUE,"Inside";#N/A,#N/A,TRUE,"Contents";#N/A,#N/A,TRUE,"Basis";#N/A,#N/A,TRUE,"Inclusions";#N/A,#N/A,TRUE,"Exclusions";#N/A,#N/A,TRUE,"Areas";#N/A,#N/A,TRUE,"Summary";#N/A,#N/A,TRUE,"Detail"}</definedName>
    <definedName name="hfghfh" hidden="1">{#N/A,#N/A,TRUE,"Front";#N/A,#N/A,TRUE,"Simple Letter";#N/A,#N/A,TRUE,"Inside";#N/A,#N/A,TRUE,"Contents";#N/A,#N/A,TRUE,"Basis";#N/A,#N/A,TRUE,"Inclusions";#N/A,#N/A,TRUE,"Exclusions";#N/A,#N/A,TRUE,"Areas";#N/A,#N/A,TRUE,"Summary";#N/A,#N/A,TRUE,"Detail"}</definedName>
    <definedName name="hfghh" localSheetId="2" hidden="1">{#N/A,#N/A,TRUE,"Front";#N/A,#N/A,TRUE,"Simple Letter";#N/A,#N/A,TRUE,"Inside";#N/A,#N/A,TRUE,"Contents";#N/A,#N/A,TRUE,"Basis";#N/A,#N/A,TRUE,"Inclusions";#N/A,#N/A,TRUE,"Exclusions";#N/A,#N/A,TRUE,"Areas";#N/A,#N/A,TRUE,"Summary";#N/A,#N/A,TRUE,"Detail"}</definedName>
    <definedName name="hfghh" hidden="1">{#N/A,#N/A,TRUE,"Front";#N/A,#N/A,TRUE,"Simple Letter";#N/A,#N/A,TRUE,"Inside";#N/A,#N/A,TRUE,"Contents";#N/A,#N/A,TRUE,"Basis";#N/A,#N/A,TRUE,"Inclusions";#N/A,#N/A,TRUE,"Exclusions";#N/A,#N/A,TRUE,"Areas";#N/A,#N/A,TRUE,"Summary";#N/A,#N/A,TRUE,"Detail"}</definedName>
    <definedName name="hfhfd" localSheetId="2" hidden="1">{#N/A,#N/A,TRUE,"Front";#N/A,#N/A,TRUE,"Simple Letter";#N/A,#N/A,TRUE,"Inside";#N/A,#N/A,TRUE,"Contents";#N/A,#N/A,TRUE,"Basis";#N/A,#N/A,TRUE,"Inclusions";#N/A,#N/A,TRUE,"Exclusions";#N/A,#N/A,TRUE,"Areas";#N/A,#N/A,TRUE,"Summary";#N/A,#N/A,TRUE,"Detail"}</definedName>
    <definedName name="hfhfd" hidden="1">{#N/A,#N/A,TRUE,"Front";#N/A,#N/A,TRUE,"Simple Letter";#N/A,#N/A,TRUE,"Inside";#N/A,#N/A,TRUE,"Contents";#N/A,#N/A,TRUE,"Basis";#N/A,#N/A,TRUE,"Inclusions";#N/A,#N/A,TRUE,"Exclusions";#N/A,#N/A,TRUE,"Areas";#N/A,#N/A,TRUE,"Summary";#N/A,#N/A,TRUE,"Detail"}</definedName>
    <definedName name="hfhgf" localSheetId="2" hidden="1">{#N/A,#N/A,TRUE,"Cover";#N/A,#N/A,TRUE,"Conts";#N/A,#N/A,TRUE,"VOS";#N/A,#N/A,TRUE,"Warrington";#N/A,#N/A,TRUE,"Widnes"}</definedName>
    <definedName name="hfhgf" hidden="1">{#N/A,#N/A,TRUE,"Cover";#N/A,#N/A,TRUE,"Conts";#N/A,#N/A,TRUE,"VOS";#N/A,#N/A,TRUE,"Warrington";#N/A,#N/A,TRUE,"Widnes"}</definedName>
    <definedName name="hfjhhjj" localSheetId="2" hidden="1">{#N/A,#N/A,FALSE,"CCTV"}</definedName>
    <definedName name="hfjhhjj" hidden="1">{#N/A,#N/A,FALSE,"CCTV"}</definedName>
    <definedName name="hg" localSheetId="2" hidden="1">{#N/A,#N/A,TRUE,"Front";#N/A,#N/A,TRUE,"Simple Letter";#N/A,#N/A,TRUE,"Inside";#N/A,#N/A,TRUE,"Contents";#N/A,#N/A,TRUE,"Basis";#N/A,#N/A,TRUE,"Inclusions";#N/A,#N/A,TRUE,"Exclusions";#N/A,#N/A,TRUE,"Areas";#N/A,#N/A,TRUE,"Summary";#N/A,#N/A,TRUE,"Detail"}</definedName>
    <definedName name="hg" hidden="1">{#N/A,#N/A,TRUE,"Front";#N/A,#N/A,TRUE,"Simple Letter";#N/A,#N/A,TRUE,"Inside";#N/A,#N/A,TRUE,"Contents";#N/A,#N/A,TRUE,"Basis";#N/A,#N/A,TRUE,"Inclusions";#N/A,#N/A,TRUE,"Exclusions";#N/A,#N/A,TRUE,"Areas";#N/A,#N/A,TRUE,"Summary";#N/A,#N/A,TRUE,"Detail"}</definedName>
    <definedName name="HGG" localSheetId="2" hidden="1">#REF!</definedName>
    <definedName name="HGG" hidden="1">#REF!</definedName>
    <definedName name="hgjfgh" localSheetId="2" hidden="1">{#N/A,#N/A,FALSE,"CCTV"}</definedName>
    <definedName name="hgjfgh" hidden="1">{#N/A,#N/A,FALSE,"CCTV"}</definedName>
    <definedName name="hgjgfhgh" localSheetId="2" hidden="1">{#N/A,#N/A,FALSE,"CCTV"}</definedName>
    <definedName name="hgjgfhgh" hidden="1">{#N/A,#N/A,FALSE,"CCTV"}</definedName>
    <definedName name="hgjhj" localSheetId="2" hidden="1">{#N/A,#N/A,TRUE,"Front";#N/A,#N/A,TRUE,"Simple Letter";#N/A,#N/A,TRUE,"Inside";#N/A,#N/A,TRUE,"Contents";#N/A,#N/A,TRUE,"Basis";#N/A,#N/A,TRUE,"Inclusions";#N/A,#N/A,TRUE,"Exclusions";#N/A,#N/A,TRUE,"Areas";#N/A,#N/A,TRUE,"Summary";#N/A,#N/A,TRUE,"Detail"}</definedName>
    <definedName name="hgjhj" hidden="1">{#N/A,#N/A,TRUE,"Front";#N/A,#N/A,TRUE,"Simple Letter";#N/A,#N/A,TRUE,"Inside";#N/A,#N/A,TRUE,"Contents";#N/A,#N/A,TRUE,"Basis";#N/A,#N/A,TRUE,"Inclusions";#N/A,#N/A,TRUE,"Exclusions";#N/A,#N/A,TRUE,"Areas";#N/A,#N/A,TRUE,"Summary";#N/A,#N/A,TRUE,"Detail"}</definedName>
    <definedName name="hgkhkg" localSheetId="2" hidden="1">{#N/A,#N/A,TRUE,"Cover";#N/A,#N/A,TRUE,"Conts";#N/A,#N/A,TRUE,"VOS";#N/A,#N/A,TRUE,"Warrington";#N/A,#N/A,TRUE,"Widnes"}</definedName>
    <definedName name="hgkhkg" hidden="1">{#N/A,#N/A,TRUE,"Cover";#N/A,#N/A,TRUE,"Conts";#N/A,#N/A,TRUE,"VOS";#N/A,#N/A,TRUE,"Warrington";#N/A,#N/A,TRUE,"Widnes"}</definedName>
    <definedName name="hgkhlh" localSheetId="2" hidden="1">{"'Break down'!$A$4"}</definedName>
    <definedName name="hgkhlh" hidden="1">{"'Break down'!$A$4"}</definedName>
    <definedName name="hhd" localSheetId="2" hidden="1">{#N/A,#N/A,TRUE,"Front";#N/A,#N/A,TRUE,"Simple Letter";#N/A,#N/A,TRUE,"Inside";#N/A,#N/A,TRUE,"Contents";#N/A,#N/A,TRUE,"Basis";#N/A,#N/A,TRUE,"Inclusions";#N/A,#N/A,TRUE,"Exclusions";#N/A,#N/A,TRUE,"Areas";#N/A,#N/A,TRUE,"Summary";#N/A,#N/A,TRUE,"Detail"}</definedName>
    <definedName name="hhd" hidden="1">{#N/A,#N/A,TRUE,"Front";#N/A,#N/A,TRUE,"Simple Letter";#N/A,#N/A,TRUE,"Inside";#N/A,#N/A,TRUE,"Contents";#N/A,#N/A,TRUE,"Basis";#N/A,#N/A,TRUE,"Inclusions";#N/A,#N/A,TRUE,"Exclusions";#N/A,#N/A,TRUE,"Areas";#N/A,#N/A,TRUE,"Summary";#N/A,#N/A,TRUE,"Detail"}</definedName>
    <definedName name="hhff" localSheetId="2" hidden="1">{#N/A,#N/A,TRUE,"Front";#N/A,#N/A,TRUE,"Simple Letter";#N/A,#N/A,TRUE,"Inside";#N/A,#N/A,TRUE,"Contents";#N/A,#N/A,TRUE,"Basis";#N/A,#N/A,TRUE,"Inclusions";#N/A,#N/A,TRUE,"Exclusions";#N/A,#N/A,TRUE,"Areas";#N/A,#N/A,TRUE,"Summary";#N/A,#N/A,TRUE,"Detail"}</definedName>
    <definedName name="hhff" hidden="1">{#N/A,#N/A,TRUE,"Front";#N/A,#N/A,TRUE,"Simple Letter";#N/A,#N/A,TRUE,"Inside";#N/A,#N/A,TRUE,"Contents";#N/A,#N/A,TRUE,"Basis";#N/A,#N/A,TRUE,"Inclusions";#N/A,#N/A,TRUE,"Exclusions";#N/A,#N/A,TRUE,"Areas";#N/A,#N/A,TRUE,"Summary";#N/A,#N/A,TRUE,"Detail"}</definedName>
    <definedName name="HHH" localSheetId="2" hidden="1">{#N/A,#N/A,FALSE,"CCTV"}</definedName>
    <definedName name="HiddenRows" hidden="1">#REF!</definedName>
    <definedName name="hjdj" localSheetId="2" hidden="1">{#N/A,#N/A,TRUE,"Cover";#N/A,#N/A,TRUE,"Conts";#N/A,#N/A,TRUE,"VOS";#N/A,#N/A,TRUE,"Warrington";#N/A,#N/A,TRUE,"Widnes"}</definedName>
    <definedName name="hjdj" hidden="1">{#N/A,#N/A,TRUE,"Cover";#N/A,#N/A,TRUE,"Conts";#N/A,#N/A,TRUE,"VOS";#N/A,#N/A,TRUE,"Warrington";#N/A,#N/A,TRUE,"Widnes"}</definedName>
    <definedName name="hjfh" localSheetId="2" hidden="1">{#N/A,#N/A,TRUE,"Front";#N/A,#N/A,TRUE,"Simple Letter";#N/A,#N/A,TRUE,"Inside";#N/A,#N/A,TRUE,"Contents";#N/A,#N/A,TRUE,"Basis";#N/A,#N/A,TRUE,"Inclusions";#N/A,#N/A,TRUE,"Exclusions";#N/A,#N/A,TRUE,"Areas";#N/A,#N/A,TRUE,"Summary";#N/A,#N/A,TRUE,"Detail"}</definedName>
    <definedName name="hjfh" hidden="1">{#N/A,#N/A,TRUE,"Front";#N/A,#N/A,TRUE,"Simple Letter";#N/A,#N/A,TRUE,"Inside";#N/A,#N/A,TRUE,"Contents";#N/A,#N/A,TRUE,"Basis";#N/A,#N/A,TRUE,"Inclusions";#N/A,#N/A,TRUE,"Exclusions";#N/A,#N/A,TRUE,"Areas";#N/A,#N/A,TRUE,"Summary";#N/A,#N/A,TRUE,"Detail"}</definedName>
    <definedName name="hjhjj" localSheetId="2" hidden="1">{"Total Indirect Manpower",#N/A,FALSE,"J";"Total Direct Manpower",#N/A,FALSE,"J";"Direct Structural Manpower",#N/A,FALSE,"J";"Direct Mechanical Manpower",#N/A,FALSE,"J";"Direct Piping Manpower",#N/A,FALSE,"J";"Direct Tanks Manpower",#N/A,FALSE,"J";"Direct ElecInstrSS Manpower",#N/A,FALSE,"J"}</definedName>
    <definedName name="hjhjj" hidden="1">{"Total Indirect Manpower",#N/A,FALSE,"J";"Total Direct Manpower",#N/A,FALSE,"J";"Direct Structural Manpower",#N/A,FALSE,"J";"Direct Mechanical Manpower",#N/A,FALSE,"J";"Direct Piping Manpower",#N/A,FALSE,"J";"Direct Tanks Manpower",#N/A,FALSE,"J";"Direct ElecInstrSS Manpower",#N/A,FALSE,"J"}</definedName>
    <definedName name="hjy" localSheetId="2" hidden="1">{"'Break down'!$A$4"}</definedName>
    <definedName name="hjy" hidden="1">{"'Break down'!$A$4"}</definedName>
    <definedName name="hp" localSheetId="2" hidden="1">{#N/A,#N/A,TRUE,"Front";#N/A,#N/A,TRUE,"Simple Letter";#N/A,#N/A,TRUE,"Inside";#N/A,#N/A,TRUE,"Contents";#N/A,#N/A,TRUE,"Basis";#N/A,#N/A,TRUE,"Inclusions";#N/A,#N/A,TRUE,"Exclusions";#N/A,#N/A,TRUE,"Areas";#N/A,#N/A,TRUE,"Summary";#N/A,#N/A,TRUE,"Detail"}</definedName>
    <definedName name="hp" hidden="1">{#N/A,#N/A,TRUE,"Front";#N/A,#N/A,TRUE,"Simple Letter";#N/A,#N/A,TRUE,"Inside";#N/A,#N/A,TRUE,"Contents";#N/A,#N/A,TRUE,"Basis";#N/A,#N/A,TRUE,"Inclusions";#N/A,#N/A,TRUE,"Exclusions";#N/A,#N/A,TRUE,"Areas";#N/A,#N/A,TRUE,"Summary";#N/A,#N/A,TRUE,"Detail"}</definedName>
    <definedName name="hshjy" localSheetId="2" hidden="1">{#N/A,#N/A,TRUE,"Cover";#N/A,#N/A,TRUE,"Conts";#N/A,#N/A,TRUE,"VOS";#N/A,#N/A,TRUE,"Warrington";#N/A,#N/A,TRUE,"Widnes"}</definedName>
    <definedName name="hshjy" hidden="1">{#N/A,#N/A,TRUE,"Cover";#N/A,#N/A,TRUE,"Conts";#N/A,#N/A,TRUE,"VOS";#N/A,#N/A,TRUE,"Warrington";#N/A,#N/A,TRUE,"Widnes"}</definedName>
    <definedName name="hshxdht" localSheetId="2" hidden="1">{#N/A,#N/A,TRUE,"Cover";#N/A,#N/A,TRUE,"Conts";#N/A,#N/A,TRUE,"VOS";#N/A,#N/A,TRUE,"Warrington";#N/A,#N/A,TRUE,"Widnes"}</definedName>
    <definedName name="hshxdht" hidden="1">{#N/A,#N/A,TRUE,"Cover";#N/A,#N/A,TRUE,"Conts";#N/A,#N/A,TRUE,"VOS";#N/A,#N/A,TRUE,"Warrington";#N/A,#N/A,TRUE,"Widnes"}</definedName>
    <definedName name="hsjha" localSheetId="2" hidden="1">{#N/A,#N/A,TRUE,"Front";#N/A,#N/A,TRUE,"Simple Letter";#N/A,#N/A,TRUE,"Inside";#N/A,#N/A,TRUE,"Contents";#N/A,#N/A,TRUE,"Basis";#N/A,#N/A,TRUE,"Inclusions";#N/A,#N/A,TRUE,"Exclusions";#N/A,#N/A,TRUE,"Areas";#N/A,#N/A,TRUE,"Summary";#N/A,#N/A,TRUE,"Detail"}</definedName>
    <definedName name="hsjha" hidden="1">{#N/A,#N/A,TRUE,"Front";#N/A,#N/A,TRUE,"Simple Letter";#N/A,#N/A,TRUE,"Inside";#N/A,#N/A,TRUE,"Contents";#N/A,#N/A,TRUE,"Basis";#N/A,#N/A,TRUE,"Inclusions";#N/A,#N/A,TRUE,"Exclusions";#N/A,#N/A,TRUE,"Areas";#N/A,#N/A,TRUE,"Summary";#N/A,#N/A,TRUE,"Detail"}</definedName>
    <definedName name="hsyhjtyhj" localSheetId="2" hidden="1">{#N/A,#N/A,TRUE,"Cover";#N/A,#N/A,TRUE,"Conts";#N/A,#N/A,TRUE,"VOS";#N/A,#N/A,TRUE,"Warrington";#N/A,#N/A,TRUE,"Widnes"}</definedName>
    <definedName name="hsyhjtyhj" hidden="1">{#N/A,#N/A,TRUE,"Cover";#N/A,#N/A,TRUE,"Conts";#N/A,#N/A,TRUE,"VOS";#N/A,#N/A,TRUE,"Warrington";#N/A,#N/A,TRUE,"Widnes"}</definedName>
    <definedName name="ht" localSheetId="2" hidden="1">{"'Break down'!$A$4"}</definedName>
    <definedName name="ht" hidden="1">{"'Break down'!$A$4"}</definedName>
    <definedName name="htggf" localSheetId="2" hidden="1">{#N/A,#N/A,TRUE,"Front";#N/A,#N/A,TRUE,"Simple Letter";#N/A,#N/A,TRUE,"Inside";#N/A,#N/A,TRUE,"Contents";#N/A,#N/A,TRUE,"Basis";#N/A,#N/A,TRUE,"Inclusions";#N/A,#N/A,TRUE,"Exclusions";#N/A,#N/A,TRUE,"Areas";#N/A,#N/A,TRUE,"Summary";#N/A,#N/A,TRUE,"Detail"}</definedName>
    <definedName name="htggf" hidden="1">{#N/A,#N/A,TRUE,"Front";#N/A,#N/A,TRUE,"Simple Letter";#N/A,#N/A,TRUE,"Inside";#N/A,#N/A,TRUE,"Contents";#N/A,#N/A,TRUE,"Basis";#N/A,#N/A,TRUE,"Inclusions";#N/A,#N/A,TRUE,"Exclusions";#N/A,#N/A,TRUE,"Areas";#N/A,#N/A,TRUE,"Summary";#N/A,#N/A,TRUE,"Detail"}</definedName>
    <definedName name="HTML_CodePage" localSheetId="2" hidden="1">949</definedName>
    <definedName name="HTML_Control" localSheetId="2" hidden="1">{"'장비'!$A$3:$M$12"}</definedName>
    <definedName name="html_control1" localSheetId="2" hidden="1">{"'Sheet1'!$A$4386:$N$4591"}</definedName>
    <definedName name="html_control1" hidden="1">{"'Sheet1'!$A$4386:$N$4591"}</definedName>
    <definedName name="HTML_control2" localSheetId="2" hidden="1">{"'Sheet1'!$A$4386:$N$4591"}</definedName>
    <definedName name="HTML_control2" hidden="1">{"'Sheet1'!$A$4386:$N$4591"}</definedName>
    <definedName name="HTML_Header" localSheetId="2" hidden="1">"장비"</definedName>
    <definedName name="HTML_LastUpdate" localSheetId="2" hidden="1">"97-08-05"</definedName>
    <definedName name="HTML_Name" localSheetId="2" hidden="1">"이진화"</definedName>
    <definedName name="HTML_OBDlg3" hidden="1">TRUE</definedName>
    <definedName name="HTML_PathFile" localSheetId="2" hidden="1">"C:\My Documents\MyHTML.htm"</definedName>
    <definedName name="HTML_PathFile" hidden="1">"Q:\zteve\html\Files\cashflow.htm"</definedName>
    <definedName name="HTML_PathTemplate" hidden="1">"C:\My Documents\Const_Sov_REV\HTMLTemp.htm"</definedName>
    <definedName name="HTML_Title" localSheetId="2" hidden="1">"가산동미라보"</definedName>
    <definedName name="htr" localSheetId="2" hidden="1">{"'Break down'!$A$4"}</definedName>
    <definedName name="htr" hidden="1">{"'Break down'!$A$4"}</definedName>
    <definedName name="htrhrsth" localSheetId="2" hidden="1">{#N/A,#N/A,TRUE,"Cover";#N/A,#N/A,TRUE,"Conts";#N/A,#N/A,TRUE,"VOS";#N/A,#N/A,TRUE,"Warrington";#N/A,#N/A,TRUE,"Widnes"}</definedName>
    <definedName name="htrhrsth" hidden="1">{#N/A,#N/A,TRUE,"Cover";#N/A,#N/A,TRUE,"Conts";#N/A,#N/A,TRUE,"VOS";#N/A,#N/A,TRUE,"Warrington";#N/A,#N/A,TRUE,"Widnes"}</definedName>
    <definedName name="httr" localSheetId="2" hidden="1">{#N/A,#N/A,TRUE,"Front";#N/A,#N/A,TRUE,"Simple Letter";#N/A,#N/A,TRUE,"Inside";#N/A,#N/A,TRUE,"Contents";#N/A,#N/A,TRUE,"Basis";#N/A,#N/A,TRUE,"Inclusions";#N/A,#N/A,TRUE,"Exclusions";#N/A,#N/A,TRUE,"Areas";#N/A,#N/A,TRUE,"Summary";#N/A,#N/A,TRUE,"Detail"}</definedName>
    <definedName name="httr" hidden="1">{#N/A,#N/A,TRUE,"Front";#N/A,#N/A,TRUE,"Simple Letter";#N/A,#N/A,TRUE,"Inside";#N/A,#N/A,TRUE,"Contents";#N/A,#N/A,TRUE,"Basis";#N/A,#N/A,TRUE,"Inclusions";#N/A,#N/A,TRUE,"Exclusions";#N/A,#N/A,TRUE,"Areas";#N/A,#N/A,TRUE,"Summary";#N/A,#N/A,TRUE,"Detail"}</definedName>
    <definedName name="hu" localSheetId="2" hidden="1">{"'Break down'!$A$4"}</definedName>
    <definedName name="hu" hidden="1">{"'Break down'!$A$4"}</definedName>
    <definedName name="hutgfru" localSheetId="2" hidden="1">{#N/A,#N/A,TRUE,"Cover";#N/A,#N/A,TRUE,"Conts";#N/A,#N/A,TRUE,"VOS";#N/A,#N/A,TRUE,"Warrington";#N/A,#N/A,TRUE,"Widnes"}</definedName>
    <definedName name="hutgfru" hidden="1">{#N/A,#N/A,TRUE,"Cover";#N/A,#N/A,TRUE,"Conts";#N/A,#N/A,TRUE,"VOS";#N/A,#N/A,TRUE,"Warrington";#N/A,#N/A,TRUE,"Widnes"}</definedName>
    <definedName name="hy" localSheetId="2" hidden="1">{#N/A,#N/A,TRUE,"Front";#N/A,#N/A,TRUE,"Simple Letter";#N/A,#N/A,TRUE,"Inside";#N/A,#N/A,TRUE,"Contents";#N/A,#N/A,TRUE,"Basis";#N/A,#N/A,TRUE,"Inclusions";#N/A,#N/A,TRUE,"Exclusions";#N/A,#N/A,TRUE,"Areas";#N/A,#N/A,TRUE,"Summary";#N/A,#N/A,TRUE,"Detail"}</definedName>
    <definedName name="hy" hidden="1">{#N/A,#N/A,TRUE,"Front";#N/A,#N/A,TRUE,"Simple Letter";#N/A,#N/A,TRUE,"Inside";#N/A,#N/A,TRUE,"Contents";#N/A,#N/A,TRUE,"Basis";#N/A,#N/A,TRUE,"Inclusions";#N/A,#N/A,TRUE,"Exclusions";#N/A,#N/A,TRUE,"Areas";#N/A,#N/A,TRUE,"Summary";#N/A,#N/A,TRUE,"Detail"}</definedName>
    <definedName name="hyjy" localSheetId="2" hidden="1">{#N/A,#N/A,TRUE,"Front";#N/A,#N/A,TRUE,"Simple Letter";#N/A,#N/A,TRUE,"Inside";#N/A,#N/A,TRUE,"Contents";#N/A,#N/A,TRUE,"Basis";#N/A,#N/A,TRUE,"Inclusions";#N/A,#N/A,TRUE,"Exclusions";#N/A,#N/A,TRUE,"Areas";#N/A,#N/A,TRUE,"Summary";#N/A,#N/A,TRUE,"Detail"}</definedName>
    <definedName name="hyjy" hidden="1">{#N/A,#N/A,TRUE,"Front";#N/A,#N/A,TRUE,"Simple Letter";#N/A,#N/A,TRUE,"Inside";#N/A,#N/A,TRUE,"Contents";#N/A,#N/A,TRUE,"Basis";#N/A,#N/A,TRUE,"Inclusions";#N/A,#N/A,TRUE,"Exclusions";#N/A,#N/A,TRUE,"Areas";#N/A,#N/A,TRUE,"Summary";#N/A,#N/A,TRUE,"Detail"}</definedName>
    <definedName name="hyuguy" localSheetId="2" hidden="1">{#N/A,#N/A,TRUE,"Front";#N/A,#N/A,TRUE,"Simple Letter";#N/A,#N/A,TRUE,"Inside";#N/A,#N/A,TRUE,"Contents";#N/A,#N/A,TRUE,"Basis";#N/A,#N/A,TRUE,"Inclusions";#N/A,#N/A,TRUE,"Exclusions";#N/A,#N/A,TRUE,"Areas";#N/A,#N/A,TRUE,"Summary";#N/A,#N/A,TRUE,"Detail"}</definedName>
    <definedName name="hyuguy" hidden="1">{#N/A,#N/A,TRUE,"Front";#N/A,#N/A,TRUE,"Simple Letter";#N/A,#N/A,TRUE,"Inside";#N/A,#N/A,TRUE,"Contents";#N/A,#N/A,TRUE,"Basis";#N/A,#N/A,TRUE,"Inclusions";#N/A,#N/A,TRUE,"Exclusions";#N/A,#N/A,TRUE,"Areas";#N/A,#N/A,TRUE,"Summary";#N/A,#N/A,TRUE,"Detail"}</definedName>
    <definedName name="I" hidden="1">#REF!</definedName>
    <definedName name="i.d" localSheetId="2" hidden="1">{"'Break down'!$A$4"}</definedName>
    <definedName name="i.d" hidden="1">{"'Break down'!$A$4"}</definedName>
    <definedName name="i8uiuyi" localSheetId="2" hidden="1">{#N/A,#N/A,TRUE,"Cover";#N/A,#N/A,TRUE,"Conts";#N/A,#N/A,TRUE,"VOS";#N/A,#N/A,TRUE,"Warrington";#N/A,#N/A,TRUE,"Widnes"}</definedName>
    <definedName name="i8uiuyi" hidden="1">{#N/A,#N/A,TRUE,"Cover";#N/A,#N/A,TRUE,"Conts";#N/A,#N/A,TRUE,"VOS";#N/A,#N/A,TRUE,"Warrington";#N/A,#N/A,TRUE,"Widnes"}</definedName>
    <definedName name="IAM" localSheetId="2" hidden="1">{"'Sheet1'!$A$4386:$N$4591"}</definedName>
    <definedName name="IAM" hidden="1">{"'Sheet1'!$A$4386:$N$4591"}</definedName>
    <definedName name="id" localSheetId="2" hidden="1">{"'Break down'!$A$4"}</definedName>
    <definedName name="id" hidden="1">{"'Break down'!$A$4"}</definedName>
    <definedName name="ihg" localSheetId="2" hidden="1">{#N/A,#N/A,TRUE,"Cover";#N/A,#N/A,TRUE,"Conts";#N/A,#N/A,TRUE,"VOS";#N/A,#N/A,TRUE,"Warrington";#N/A,#N/A,TRUE,"Widnes"}</definedName>
    <definedName name="ihg" hidden="1">{#N/A,#N/A,TRUE,"Cover";#N/A,#N/A,TRUE,"Conts";#N/A,#N/A,TRUE,"VOS";#N/A,#N/A,TRUE,"Warrington";#N/A,#N/A,TRUE,"Widnes"}</definedName>
    <definedName name="iho" localSheetId="2" hidden="1">{#N/A,#N/A,TRUE,"Cover";#N/A,#N/A,TRUE,"Conts";#N/A,#N/A,TRUE,"VOS";#N/A,#N/A,TRUE,"Warrington";#N/A,#N/A,TRUE,"Widnes"}</definedName>
    <definedName name="iho" hidden="1">{#N/A,#N/A,TRUE,"Cover";#N/A,#N/A,TRUE,"Conts";#N/A,#N/A,TRUE,"VOS";#N/A,#N/A,TRUE,"Warrington";#N/A,#N/A,TRUE,"Widnes"}</definedName>
    <definedName name="iiip" localSheetId="2" hidden="1">{"'Break down'!$A$4"}</definedName>
    <definedName name="iiip" hidden="1">{"'Break down'!$A$4"}</definedName>
    <definedName name="iiouolkll" localSheetId="2" hidden="1">{#N/A,#N/A,FALSE,"CCTV"}</definedName>
    <definedName name="iiouolkll" hidden="1">{#N/A,#N/A,FALSE,"CCTV"}</definedName>
    <definedName name="iiy" localSheetId="2" hidden="1">{"'Break down'!$A$4"}</definedName>
    <definedName name="iiy" hidden="1">{"'Break down'!$A$4"}</definedName>
    <definedName name="immn" localSheetId="2" hidden="1">{#N/A,#N/A,TRUE,"Front";#N/A,#N/A,TRUE,"Simple Letter";#N/A,#N/A,TRUE,"Inside";#N/A,#N/A,TRUE,"Contents";#N/A,#N/A,TRUE,"Basis";#N/A,#N/A,TRUE,"Inclusions";#N/A,#N/A,TRUE,"Exclusions";#N/A,#N/A,TRUE,"Areas";#N/A,#N/A,TRUE,"Summary";#N/A,#N/A,TRUE,"Detail"}</definedName>
    <definedName name="immn" hidden="1">{#N/A,#N/A,TRUE,"Front";#N/A,#N/A,TRUE,"Simple Letter";#N/A,#N/A,TRUE,"Inside";#N/A,#N/A,TRUE,"Contents";#N/A,#N/A,TRUE,"Basis";#N/A,#N/A,TRUE,"Inclusions";#N/A,#N/A,TRUE,"Exclusions";#N/A,#N/A,TRUE,"Areas";#N/A,#N/A,TRUE,"Summary";#N/A,#N/A,TRUE,"Detail"}</definedName>
    <definedName name="Indirect" localSheetId="2" hidden="1">{"Total Indirect Manpower",#N/A,FALSE,"J";"Total Direct Manpower",#N/A,FALSE,"J";"Direct Structural Manpower",#N/A,FALSE,"J";"Direct Mechanical Manpower",#N/A,FALSE,"J";"Direct Piping Manpower",#N/A,FALSE,"J";"Direct Tanks Manpower",#N/A,FALSE,"J";"Direct ElecInstrSS Manpower",#N/A,FALSE,"J"}</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tracs" localSheetId="2" hidden="1">{"cost",#N/A,FALSE,"B";"Sum",#N/A,FALSE,"C";"Sal1",#N/A,FALSE,"D";"Sal2",#N/A,FALSE,"D";"Mob",#N/A,FALSE,"E";"Eqpcst1",#N/A,FALSE,"F";"Eqpcst2",#N/A,FALSE,"F";"Eqpcst3",#N/A,FALSE,"F";"Est1",#N/A,FALSE,"G";"Est2",#N/A,FALSE,"G";"Fin",#N/A,FALSE,"H";"EqpCal",#N/A,FALSE,"I";"ManCal1",#N/A,FALSE,"J";"ManCal2",#N/A,FALSE,"J";"Consm",#N/A,FALSE,"L";"B O",#N/A,FALSE,"M";"S C",#N/A,FALSE,"N"}</definedName>
    <definedName name="intracs" hidden="1">{"cost",#N/A,FALSE,"B";"Sum",#N/A,FALSE,"C";"Sal1",#N/A,FALSE,"D";"Sal2",#N/A,FALSE,"D";"Mob",#N/A,FALSE,"E";"Eqpcst1",#N/A,FALSE,"F";"Eqpcst2",#N/A,FALSE,"F";"Eqpcst3",#N/A,FALSE,"F";"Est1",#N/A,FALSE,"G";"Est2",#N/A,FALSE,"G";"Fin",#N/A,FALSE,"H";"EqpCal",#N/A,FALSE,"I";"ManCal1",#N/A,FALSE,"J";"ManCal2",#N/A,FALSE,"J";"Consm",#N/A,FALSE,"L";"B O",#N/A,FALSE,"M";"S C",#N/A,FALSE,"N"}</definedName>
    <definedName name="io" localSheetId="2" hidden="1">{#N/A,#N/A,TRUE,"Cover";#N/A,#N/A,TRUE,"Conts";#N/A,#N/A,TRUE,"VOS";#N/A,#N/A,TRUE,"Warrington";#N/A,#N/A,TRUE,"Widnes"}</definedName>
    <definedName name="io" hidden="1">{#N/A,#N/A,TRUE,"Cover";#N/A,#N/A,TRUE,"Conts";#N/A,#N/A,TRUE,"VOS";#N/A,#N/A,TRUE,"Warrington";#N/A,#N/A,TRUE,"Widnes"}</definedName>
    <definedName name="io8yuou8y" localSheetId="2" hidden="1">{#N/A,#N/A,TRUE,"Cover";#N/A,#N/A,TRUE,"Conts";#N/A,#N/A,TRUE,"VOS";#N/A,#N/A,TRUE,"Warrington";#N/A,#N/A,TRUE,"Widnes"}</definedName>
    <definedName name="io8yuou8y" hidden="1">{#N/A,#N/A,TRUE,"Cover";#N/A,#N/A,TRUE,"Conts";#N/A,#N/A,TRUE,"VOS";#N/A,#N/A,TRUE,"Warrington";#N/A,#N/A,TRUE,"Widnes"}</definedName>
    <definedName name="iol" localSheetId="2" hidden="1">{#N/A,#N/A,TRUE,"Cover";#N/A,#N/A,TRUE,"Conts";#N/A,#N/A,TRUE,"VOS";#N/A,#N/A,TRUE,"Warrington";#N/A,#N/A,TRUE,"Widnes"}</definedName>
    <definedName name="iol" hidden="1">{#N/A,#N/A,TRUE,"Cover";#N/A,#N/A,TRUE,"Conts";#N/A,#N/A,TRUE,"VOS";#N/A,#N/A,TRUE,"Warrington";#N/A,#N/A,TRUE,"Widnes"}</definedName>
    <definedName name="ioykyoyu" localSheetId="2" hidden="1">{#N/A,#N/A,TRUE,"Cover";#N/A,#N/A,TRUE,"Conts";#N/A,#N/A,TRUE,"VOS";#N/A,#N/A,TRUE,"Warrington";#N/A,#N/A,TRUE,"Widnes"}</definedName>
    <definedName name="ioykyoyu" hidden="1">{#N/A,#N/A,TRUE,"Cover";#N/A,#N/A,TRUE,"Conts";#N/A,#N/A,TRUE,"VOS";#N/A,#N/A,TRUE,"Warrington";#N/A,#N/A,TRUE,"Widnes"}</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43137.3959143519</definedName>
    <definedName name="IQ_QTD" hidden="1">750000</definedName>
    <definedName name="IQ_TODAY" hidden="1">0</definedName>
    <definedName name="IQ_YTDMONTH" hidden="1">130000</definedName>
    <definedName name="iu" localSheetId="2" hidden="1">{#N/A,#N/A,TRUE,"Cover";#N/A,#N/A,TRUE,"Conts";#N/A,#N/A,TRUE,"VOS";#N/A,#N/A,TRUE,"Warrington";#N/A,#N/A,TRUE,"Widnes"}</definedName>
    <definedName name="iu" hidden="1">{#N/A,#N/A,TRUE,"Cover";#N/A,#N/A,TRUE,"Conts";#N/A,#N/A,TRUE,"VOS";#N/A,#N/A,TRUE,"Warrington";#N/A,#N/A,TRUE,"Widnes"}</definedName>
    <definedName name="iuh" localSheetId="2" hidden="1">{#N/A,#N/A,TRUE,"Cover";#N/A,#N/A,TRUE,"Conts";#N/A,#N/A,TRUE,"VOS";#N/A,#N/A,TRUE,"Warrington";#N/A,#N/A,TRUE,"Widnes"}</definedName>
    <definedName name="iuh" hidden="1">{#N/A,#N/A,TRUE,"Cover";#N/A,#N/A,TRUE,"Conts";#N/A,#N/A,TRUE,"VOS";#N/A,#N/A,TRUE,"Warrington";#N/A,#N/A,TRUE,"Widnes"}</definedName>
    <definedName name="iui" localSheetId="2" hidden="1">{#N/A,#N/A,TRUE,"Cover";#N/A,#N/A,TRUE,"Conts";#N/A,#N/A,TRUE,"VOS";#N/A,#N/A,TRUE,"Warrington";#N/A,#N/A,TRUE,"Widnes"}</definedName>
    <definedName name="iui" hidden="1">{#N/A,#N/A,TRUE,"Cover";#N/A,#N/A,TRUE,"Conts";#N/A,#N/A,TRUE,"VOS";#N/A,#N/A,TRUE,"Warrington";#N/A,#N/A,TRUE,"Widnes"}</definedName>
    <definedName name="iuiou" localSheetId="2" hidden="1">{#N/A,#N/A,TRUE,"Cover";#N/A,#N/A,TRUE,"Conts";#N/A,#N/A,TRUE,"VOS";#N/A,#N/A,TRUE,"Warrington";#N/A,#N/A,TRUE,"Widnes"}</definedName>
    <definedName name="iuiou" hidden="1">{#N/A,#N/A,TRUE,"Cover";#N/A,#N/A,TRUE,"Conts";#N/A,#N/A,TRUE,"VOS";#N/A,#N/A,TRUE,"Warrington";#N/A,#N/A,TRUE,"Widnes"}</definedName>
    <definedName name="iuk" localSheetId="2" hidden="1">{#N/A,#N/A,TRUE,"Cover";#N/A,#N/A,TRUE,"Conts";#N/A,#N/A,TRUE,"VOS";#N/A,#N/A,TRUE,"Warrington";#N/A,#N/A,TRUE,"Widnes"}</definedName>
    <definedName name="iuk" hidden="1">{#N/A,#N/A,TRUE,"Cover";#N/A,#N/A,TRUE,"Conts";#N/A,#N/A,TRUE,"VOS";#N/A,#N/A,TRUE,"Warrington";#N/A,#N/A,TRUE,"Widnes"}</definedName>
    <definedName name="iukh" localSheetId="2" hidden="1">{#N/A,#N/A,TRUE,"Cover";#N/A,#N/A,TRUE,"Conts";#N/A,#N/A,TRUE,"VOS";#N/A,#N/A,TRUE,"Warrington";#N/A,#N/A,TRUE,"Widnes"}</definedName>
    <definedName name="iukh" hidden="1">{#N/A,#N/A,TRUE,"Cover";#N/A,#N/A,TRUE,"Conts";#N/A,#N/A,TRUE,"VOS";#N/A,#N/A,TRUE,"Warrington";#N/A,#N/A,TRUE,"Widnes"}</definedName>
    <definedName name="iulouy" localSheetId="2" hidden="1">{#N/A,#N/A,TRUE,"Cover";#N/A,#N/A,TRUE,"Conts";#N/A,#N/A,TRUE,"VOS";#N/A,#N/A,TRUE,"Warrington";#N/A,#N/A,TRUE,"Widnes"}</definedName>
    <definedName name="iulouy" hidden="1">{#N/A,#N/A,TRUE,"Cover";#N/A,#N/A,TRUE,"Conts";#N/A,#N/A,TRUE,"VOS";#N/A,#N/A,TRUE,"Warrington";#N/A,#N/A,TRUE,"Widnes"}</definedName>
    <definedName name="ivrcl" localSheetId="2" hidden="1">{"'Sheet1'!$A$4386:$N$4591"}</definedName>
    <definedName name="ivrcl" hidden="1">{"'Sheet1'!$A$4386:$N$4591"}</definedName>
    <definedName name="jba" localSheetId="2" hidden="1">{"'M'!$C$12:$D$12"}</definedName>
    <definedName name="jba" hidden="1">{"'M'!$C$12:$D$12"}</definedName>
    <definedName name="jg" localSheetId="2" hidden="1">{#N/A,#N/A,TRUE,"Cover";#N/A,#N/A,TRUE,"Conts";#N/A,#N/A,TRUE,"VOS";#N/A,#N/A,TRUE,"Warrington";#N/A,#N/A,TRUE,"Widnes"}</definedName>
    <definedName name="jg" hidden="1">{#N/A,#N/A,TRUE,"Cover";#N/A,#N/A,TRUE,"Conts";#N/A,#N/A,TRUE,"VOS";#N/A,#N/A,TRUE,"Warrington";#N/A,#N/A,TRUE,"Widnes"}</definedName>
    <definedName name="jgt" localSheetId="2" hidden="1">{"'Break down'!$A$4"}</definedName>
    <definedName name="jgt" hidden="1">{"'Break down'!$A$4"}</definedName>
    <definedName name="jh" localSheetId="2" hidden="1">{#N/A,#N/A,FALSE,"SumG";#N/A,#N/A,FALSE,"ElecG";#N/A,#N/A,FALSE,"MechG";#N/A,#N/A,FALSE,"GeotG";#N/A,#N/A,FALSE,"PrcsG";#N/A,#N/A,FALSE,"TunnG";#N/A,#N/A,FALSE,"CivlG";#N/A,#N/A,FALSE,"NtwkG";#N/A,#N/A,FALSE,"EstgG";#N/A,#N/A,FALSE,"PEngG"}</definedName>
    <definedName name="jh" hidden="1">{#N/A,#N/A,FALSE,"SumG";#N/A,#N/A,FALSE,"ElecG";#N/A,#N/A,FALSE,"MechG";#N/A,#N/A,FALSE,"GeotG";#N/A,#N/A,FALSE,"PrcsG";#N/A,#N/A,FALSE,"TunnG";#N/A,#N/A,FALSE,"CivlG";#N/A,#N/A,FALSE,"NtwkG";#N/A,#N/A,FALSE,"EstgG";#N/A,#N/A,FALSE,"PEngG"}</definedName>
    <definedName name="jhg" localSheetId="2" hidden="1">{#N/A,#N/A,TRUE,"Cover";#N/A,#N/A,TRUE,"Conts";#N/A,#N/A,TRUE,"VOS";#N/A,#N/A,TRUE,"Warrington";#N/A,#N/A,TRUE,"Widnes"}</definedName>
    <definedName name="jhg" hidden="1">{#N/A,#N/A,TRUE,"Cover";#N/A,#N/A,TRUE,"Conts";#N/A,#N/A,TRUE,"VOS";#N/A,#N/A,TRUE,"Warrington";#N/A,#N/A,TRUE,"Widnes"}</definedName>
    <definedName name="jhguyb" localSheetId="2" hidden="1">{#N/A,#N/A,TRUE,"Front";#N/A,#N/A,TRUE,"Simple Letter";#N/A,#N/A,TRUE,"Inside";#N/A,#N/A,TRUE,"Contents";#N/A,#N/A,TRUE,"Basis";#N/A,#N/A,TRUE,"Inclusions";#N/A,#N/A,TRUE,"Exclusions";#N/A,#N/A,TRUE,"Areas";#N/A,#N/A,TRUE,"Summary";#N/A,#N/A,TRUE,"Detail"}</definedName>
    <definedName name="jhguyb" hidden="1">{#N/A,#N/A,TRUE,"Front";#N/A,#N/A,TRUE,"Simple Letter";#N/A,#N/A,TRUE,"Inside";#N/A,#N/A,TRUE,"Contents";#N/A,#N/A,TRUE,"Basis";#N/A,#N/A,TRUE,"Inclusions";#N/A,#N/A,TRUE,"Exclusions";#N/A,#N/A,TRUE,"Areas";#N/A,#N/A,TRUE,"Summary";#N/A,#N/A,TRUE,"Detail"}</definedName>
    <definedName name="JHHH" localSheetId="2" hidden="1">{#N/A,#N/A,TRUE,"Front";#N/A,#N/A,TRUE,"Simple Letter";#N/A,#N/A,TRUE,"Inside";#N/A,#N/A,TRUE,"Contents";#N/A,#N/A,TRUE,"Basis";#N/A,#N/A,TRUE,"Inclusions";#N/A,#N/A,TRUE,"Exclusions";#N/A,#N/A,TRUE,"Areas";#N/A,#N/A,TRUE,"Summary";#N/A,#N/A,TRUE,"Detail"}</definedName>
    <definedName name="JHHH" hidden="1">{#N/A,#N/A,TRUE,"Front";#N/A,#N/A,TRUE,"Simple Letter";#N/A,#N/A,TRUE,"Inside";#N/A,#N/A,TRUE,"Contents";#N/A,#N/A,TRUE,"Basis";#N/A,#N/A,TRUE,"Inclusions";#N/A,#N/A,TRUE,"Exclusions";#N/A,#N/A,TRUE,"Areas";#N/A,#N/A,TRUE,"Summary";#N/A,#N/A,TRUE,"Detail"}</definedName>
    <definedName name="jhhhh" localSheetId="2" hidden="1">{#N/A,#N/A,FALSE,"CCTV"}</definedName>
    <definedName name="jhhhh" hidden="1">{#N/A,#N/A,FALSE,"CCTV"}</definedName>
    <definedName name="JHJKVBHN" localSheetId="2" hidden="1">{#N/A,#N/A,TRUE,"Front";#N/A,#N/A,TRUE,"Simple Letter";#N/A,#N/A,TRUE,"Inside";#N/A,#N/A,TRUE,"Contents";#N/A,#N/A,TRUE,"Basis";#N/A,#N/A,TRUE,"Inclusions";#N/A,#N/A,TRUE,"Exclusions";#N/A,#N/A,TRUE,"Areas";#N/A,#N/A,TRUE,"Summary";#N/A,#N/A,TRUE,"Detail"}</definedName>
    <definedName name="JHJKVBHN" hidden="1">{#N/A,#N/A,TRUE,"Front";#N/A,#N/A,TRUE,"Simple Letter";#N/A,#N/A,TRUE,"Inside";#N/A,#N/A,TRUE,"Contents";#N/A,#N/A,TRUE,"Basis";#N/A,#N/A,TRUE,"Inclusions";#N/A,#N/A,TRUE,"Exclusions";#N/A,#N/A,TRUE,"Areas";#N/A,#N/A,TRUE,"Summary";#N/A,#N/A,TRUE,"Detail"}</definedName>
    <definedName name="jih" localSheetId="2" hidden="1">{#N/A,#N/A,TRUE,"Front";#N/A,#N/A,TRUE,"Simple Letter";#N/A,#N/A,TRUE,"Inside";#N/A,#N/A,TRUE,"Contents";#N/A,#N/A,TRUE,"Basis";#N/A,#N/A,TRUE,"Inclusions";#N/A,#N/A,TRUE,"Exclusions";#N/A,#N/A,TRUE,"Areas";#N/A,#N/A,TRUE,"Summary";#N/A,#N/A,TRUE,"Detail"}</definedName>
    <definedName name="jih" hidden="1">{#N/A,#N/A,TRUE,"Front";#N/A,#N/A,TRUE,"Simple Letter";#N/A,#N/A,TRUE,"Inside";#N/A,#N/A,TRUE,"Contents";#N/A,#N/A,TRUE,"Basis";#N/A,#N/A,TRUE,"Inclusions";#N/A,#N/A,TRUE,"Exclusions";#N/A,#N/A,TRUE,"Areas";#N/A,#N/A,TRUE,"Summary";#N/A,#N/A,TRUE,"Detail"}</definedName>
    <definedName name="jjy" localSheetId="2" hidden="1">{"'Break down'!$A$4"}</definedName>
    <definedName name="jjy" hidden="1">{"'Break down'!$A$4"}</definedName>
    <definedName name="JK" localSheetId="2" hidden="1">{#N/A,#N/A,FALSE,"CCTV"}</definedName>
    <definedName name="JK" hidden="1">{#N/A,#N/A,FALSE,"SumG";#N/A,#N/A,FALSE,"ElecG";#N/A,#N/A,FALSE,"MechG";#N/A,#N/A,FALSE,"GeotG";#N/A,#N/A,FALSE,"PrcsG";#N/A,#N/A,FALSE,"TunnG";#N/A,#N/A,FALSE,"CivlG";#N/A,#N/A,FALSE,"NtwkG";#N/A,#N/A,FALSE,"EstgG";#N/A,#N/A,FALSE,"PEngG"}</definedName>
    <definedName name="jk.j.oi" localSheetId="2" hidden="1">{#N/A,#N/A,TRUE,"Cover";#N/A,#N/A,TRUE,"Conts";#N/A,#N/A,TRUE,"VOS";#N/A,#N/A,TRUE,"Warrington";#N/A,#N/A,TRUE,"Widnes"}</definedName>
    <definedName name="jk.j.oi" hidden="1">{#N/A,#N/A,TRUE,"Cover";#N/A,#N/A,TRUE,"Conts";#N/A,#N/A,TRUE,"VOS";#N/A,#N/A,TRUE,"Warrington";#N/A,#N/A,TRUE,"Widnes"}</definedName>
    <definedName name="JKE" localSheetId="2" hidden="1">{#N/A,#N/A,FALSE,"CCTV"}</definedName>
    <definedName name="JKE" hidden="1">{#N/A,#N/A,FALSE,"CCTV"}</definedName>
    <definedName name="JKGKJHK" localSheetId="2" hidden="1">{#N/A,#N/A,TRUE,"Cover";#N/A,#N/A,TRUE,"Conts";#N/A,#N/A,TRUE,"VOS";#N/A,#N/A,TRUE,"Warrington";#N/A,#N/A,TRUE,"Widnes"}</definedName>
    <definedName name="JKGKJHK" hidden="1">{#N/A,#N/A,TRUE,"Cover";#N/A,#N/A,TRUE,"Conts";#N/A,#N/A,TRUE,"VOS";#N/A,#N/A,TRUE,"Warrington";#N/A,#N/A,TRUE,"Widnes"}</definedName>
    <definedName name="jkjk" localSheetId="2" hidden="1">{#N/A,#N/A,TRUE,"Front";#N/A,#N/A,TRUE,"Simple Letter";#N/A,#N/A,TRUE,"Inside";#N/A,#N/A,TRUE,"Contents";#N/A,#N/A,TRUE,"Basis";#N/A,#N/A,TRUE,"Inclusions";#N/A,#N/A,TRUE,"Exclusions";#N/A,#N/A,TRUE,"Areas";#N/A,#N/A,TRUE,"Summary";#N/A,#N/A,TRUE,"Detail"}</definedName>
    <definedName name="jkjk" hidden="1">{#N/A,#N/A,TRUE,"Front";#N/A,#N/A,TRUE,"Simple Letter";#N/A,#N/A,TRUE,"Inside";#N/A,#N/A,TRUE,"Contents";#N/A,#N/A,TRUE,"Basis";#N/A,#N/A,TRUE,"Inclusions";#N/A,#N/A,TRUE,"Exclusions";#N/A,#N/A,TRUE,"Areas";#N/A,#N/A,TRUE,"Summary";#N/A,#N/A,TRUE,"Detail"}</definedName>
    <definedName name="jkljljkl" localSheetId="2" hidden="1">{#N/A,#N/A,TRUE,"Cover";#N/A,#N/A,TRUE,"Conts";#N/A,#N/A,TRUE,"VOS";#N/A,#N/A,TRUE,"Warrington";#N/A,#N/A,TRUE,"Widnes"}</definedName>
    <definedName name="jkljljkl" hidden="1">{#N/A,#N/A,TRUE,"Cover";#N/A,#N/A,TRUE,"Conts";#N/A,#N/A,TRUE,"VOS";#N/A,#N/A,TRUE,"Warrington";#N/A,#N/A,TRUE,"Widnes"}</definedName>
    <definedName name="jktrujij" localSheetId="2" hidden="1">{#N/A,#N/A,TRUE,"Cover";#N/A,#N/A,TRUE,"Conts";#N/A,#N/A,TRUE,"VOS";#N/A,#N/A,TRUE,"Warrington";#N/A,#N/A,TRUE,"Widnes"}</definedName>
    <definedName name="jktrujij" hidden="1">{#N/A,#N/A,TRUE,"Cover";#N/A,#N/A,TRUE,"Conts";#N/A,#N/A,TRUE,"VOS";#N/A,#N/A,TRUE,"Warrington";#N/A,#N/A,TRUE,"Widnes"}</definedName>
    <definedName name="jktukk" localSheetId="2" hidden="1">{#N/A,#N/A,TRUE,"Cover";#N/A,#N/A,TRUE,"Conts";#N/A,#N/A,TRUE,"VOS";#N/A,#N/A,TRUE,"Warrington";#N/A,#N/A,TRUE,"Widnes"}</definedName>
    <definedName name="jktukk" hidden="1">{#N/A,#N/A,TRUE,"Cover";#N/A,#N/A,TRUE,"Conts";#N/A,#N/A,TRUE,"VOS";#N/A,#N/A,TRUE,"Warrington";#N/A,#N/A,TRUE,"Widnes"}</definedName>
    <definedName name="JKVBHB" localSheetId="2" hidden="1">{#N/A,#N/A,TRUE,"Front";#N/A,#N/A,TRUE,"Simple Letter";#N/A,#N/A,TRUE,"Inside";#N/A,#N/A,TRUE,"Contents";#N/A,#N/A,TRUE,"Basis";#N/A,#N/A,TRUE,"Inclusions";#N/A,#N/A,TRUE,"Exclusions";#N/A,#N/A,TRUE,"Areas";#N/A,#N/A,TRUE,"Summary";#N/A,#N/A,TRUE,"Detail"}</definedName>
    <definedName name="JKVBHB" hidden="1">{#N/A,#N/A,TRUE,"Front";#N/A,#N/A,TRUE,"Simple Letter";#N/A,#N/A,TRUE,"Inside";#N/A,#N/A,TRUE,"Contents";#N/A,#N/A,TRUE,"Basis";#N/A,#N/A,TRUE,"Inclusions";#N/A,#N/A,TRUE,"Exclusions";#N/A,#N/A,TRUE,"Areas";#N/A,#N/A,TRUE,"Summary";#N/A,#N/A,TRUE,"Detail"}</definedName>
    <definedName name="jky" localSheetId="2" hidden="1">{#N/A,#N/A,TRUE,"Cover";#N/A,#N/A,TRUE,"Conts";#N/A,#N/A,TRUE,"VOS";#N/A,#N/A,TRUE,"Warrington";#N/A,#N/A,TRUE,"Widnes"}</definedName>
    <definedName name="jky" hidden="1">{#N/A,#N/A,TRUE,"Cover";#N/A,#N/A,TRUE,"Conts";#N/A,#N/A,TRUE,"VOS";#N/A,#N/A,TRUE,"Warrington";#N/A,#N/A,TRUE,"Widnes"}</definedName>
    <definedName name="jo" localSheetId="2" hidden="1">{"'Break down'!$A$4"}</definedName>
    <definedName name="jo" hidden="1">{"'Break down'!$A$4"}</definedName>
    <definedName name="joy" localSheetId="2" hidden="1">{"'Break down'!$A$4"}</definedName>
    <definedName name="joy" hidden="1">{"'Break down'!$A$4"}</definedName>
    <definedName name="joyr" localSheetId="2" hidden="1">{"'Break down'!$A$4"}</definedName>
    <definedName name="joyr" hidden="1">{"'Break down'!$A$4"}</definedName>
    <definedName name="jrtj" localSheetId="2" hidden="1">{#N/A,#N/A,TRUE,"Front";#N/A,#N/A,TRUE,"Simple Letter";#N/A,#N/A,TRUE,"Inside";#N/A,#N/A,TRUE,"Contents";#N/A,#N/A,TRUE,"Basis";#N/A,#N/A,TRUE,"Inclusions";#N/A,#N/A,TRUE,"Exclusions";#N/A,#N/A,TRUE,"Areas";#N/A,#N/A,TRUE,"Summary";#N/A,#N/A,TRUE,"Detail"}</definedName>
    <definedName name="jrtj" hidden="1">{#N/A,#N/A,TRUE,"Front";#N/A,#N/A,TRUE,"Simple Letter";#N/A,#N/A,TRUE,"Inside";#N/A,#N/A,TRUE,"Contents";#N/A,#N/A,TRUE,"Basis";#N/A,#N/A,TRUE,"Inclusions";#N/A,#N/A,TRUE,"Exclusions";#N/A,#N/A,TRUE,"Areas";#N/A,#N/A,TRUE,"Summary";#N/A,#N/A,TRUE,"Detail"}</definedName>
    <definedName name="jtyhjswjy" localSheetId="2" hidden="1">{#N/A,#N/A,TRUE,"Cover";#N/A,#N/A,TRUE,"Conts";#N/A,#N/A,TRUE,"VOS";#N/A,#N/A,TRUE,"Warrington";#N/A,#N/A,TRUE,"Widnes"}</definedName>
    <definedName name="jtyhjswjy" hidden="1">{#N/A,#N/A,TRUE,"Cover";#N/A,#N/A,TRUE,"Conts";#N/A,#N/A,TRUE,"VOS";#N/A,#N/A,TRUE,"Warrington";#N/A,#N/A,TRUE,"Widnes"}</definedName>
    <definedName name="jug" localSheetId="2" hidden="1">{#N/A,#N/A,TRUE,"Front";#N/A,#N/A,TRUE,"Simple Letter";#N/A,#N/A,TRUE,"Inside";#N/A,#N/A,TRUE,"Contents";#N/A,#N/A,TRUE,"Basis";#N/A,#N/A,TRUE,"Inclusions";#N/A,#N/A,TRUE,"Exclusions";#N/A,#N/A,TRUE,"Areas";#N/A,#N/A,TRUE,"Summary";#N/A,#N/A,TRUE,"Detail"}</definedName>
    <definedName name="jug" hidden="1">{#N/A,#N/A,TRUE,"Front";#N/A,#N/A,TRUE,"Simple Letter";#N/A,#N/A,TRUE,"Inside";#N/A,#N/A,TRUE,"Contents";#N/A,#N/A,TRUE,"Basis";#N/A,#N/A,TRUE,"Inclusions";#N/A,#N/A,TRUE,"Exclusions";#N/A,#N/A,TRUE,"Areas";#N/A,#N/A,TRUE,"Summary";#N/A,#N/A,TRUE,"Detail"}</definedName>
    <definedName name="jujnkl" localSheetId="2" hidden="1">{#N/A,#N/A,TRUE,"Front";#N/A,#N/A,TRUE,"Simple Letter";#N/A,#N/A,TRUE,"Inside";#N/A,#N/A,TRUE,"Contents";#N/A,#N/A,TRUE,"Basis";#N/A,#N/A,TRUE,"Inclusions";#N/A,#N/A,TRUE,"Exclusions";#N/A,#N/A,TRUE,"Areas";#N/A,#N/A,TRUE,"Summary";#N/A,#N/A,TRUE,"Detail"}</definedName>
    <definedName name="jujnkl" hidden="1">{#N/A,#N/A,TRUE,"Front";#N/A,#N/A,TRUE,"Simple Letter";#N/A,#N/A,TRUE,"Inside";#N/A,#N/A,TRUE,"Contents";#N/A,#N/A,TRUE,"Basis";#N/A,#N/A,TRUE,"Inclusions";#N/A,#N/A,TRUE,"Exclusions";#N/A,#N/A,TRUE,"Areas";#N/A,#N/A,TRUE,"Summary";#N/A,#N/A,TRUE,"Detail"}</definedName>
    <definedName name="juy" localSheetId="2" hidden="1">{#N/A,#N/A,TRUE,"Front";#N/A,#N/A,TRUE,"Simple Letter";#N/A,#N/A,TRUE,"Inside";#N/A,#N/A,TRUE,"Contents";#N/A,#N/A,TRUE,"Basis";#N/A,#N/A,TRUE,"Inclusions";#N/A,#N/A,TRUE,"Exclusions";#N/A,#N/A,TRUE,"Areas";#N/A,#N/A,TRUE,"Summary";#N/A,#N/A,TRUE,"Detail"}</definedName>
    <definedName name="juy" hidden="1">{#N/A,#N/A,TRUE,"Front";#N/A,#N/A,TRUE,"Simple Letter";#N/A,#N/A,TRUE,"Inside";#N/A,#N/A,TRUE,"Contents";#N/A,#N/A,TRUE,"Basis";#N/A,#N/A,TRUE,"Inclusions";#N/A,#N/A,TRUE,"Exclusions";#N/A,#N/A,TRUE,"Areas";#N/A,#N/A,TRUE,"Summary";#N/A,#N/A,TRUE,"Detail"}</definedName>
    <definedName name="k" hidden="1">{#N/A,#N/A,TRUE,"Cover";#N/A,#N/A,TRUE,"Conts";#N/A,#N/A,TRUE,"VOS";#N/A,#N/A,TRUE,"Warrington";#N/A,#N/A,TRUE,"Widnes"}</definedName>
    <definedName name="kasdfjhd" localSheetId="2" hidden="1">{"'Typical Costs Estimates'!$C$158:$H$161"}</definedName>
    <definedName name="kasdfjhd" hidden="1">{"'Typical Costs Estimates'!$C$158:$H$161"}</definedName>
    <definedName name="KGFKLFD" localSheetId="2" hidden="1">{#N/A,#N/A,TRUE,"Front";#N/A,#N/A,TRUE,"Simple Letter";#N/A,#N/A,TRUE,"Inside";#N/A,#N/A,TRUE,"Contents";#N/A,#N/A,TRUE,"Basis";#N/A,#N/A,TRUE,"Inclusions";#N/A,#N/A,TRUE,"Exclusions";#N/A,#N/A,TRUE,"Areas";#N/A,#N/A,TRUE,"Summary";#N/A,#N/A,TRUE,"Detail"}</definedName>
    <definedName name="KGFKLFD" hidden="1">{#N/A,#N/A,TRUE,"Front";#N/A,#N/A,TRUE,"Simple Letter";#N/A,#N/A,TRUE,"Inside";#N/A,#N/A,TRUE,"Contents";#N/A,#N/A,TRUE,"Basis";#N/A,#N/A,TRUE,"Inclusions";#N/A,#N/A,TRUE,"Exclusions";#N/A,#N/A,TRUE,"Areas";#N/A,#N/A,TRUE,"Summary";#N/A,#N/A,TRUE,"Detail"}</definedName>
    <definedName name="kghlgh" localSheetId="2" hidden="1">{#N/A,#N/A,FALSE,"CCTV"}</definedName>
    <definedName name="kghlgh" hidden="1">{#N/A,#N/A,FALSE,"CCTV"}</definedName>
    <definedName name="kgjfgjgj" localSheetId="2" hidden="1">{#N/A,#N/A,TRUE,"Cover";#N/A,#N/A,TRUE,"Conts";#N/A,#N/A,TRUE,"VOS";#N/A,#N/A,TRUE,"Warrington";#N/A,#N/A,TRUE,"Widnes"}</definedName>
    <definedName name="kgjfgjgj" hidden="1">{#N/A,#N/A,TRUE,"Cover";#N/A,#N/A,TRUE,"Conts";#N/A,#N/A,TRUE,"VOS";#N/A,#N/A,TRUE,"Warrington";#N/A,#N/A,TRUE,"Widnes"}</definedName>
    <definedName name="khgfkhgf" localSheetId="2" hidden="1">{#N/A,#N/A,TRUE,"Cover";#N/A,#N/A,TRUE,"Conts";#N/A,#N/A,TRUE,"VOS";#N/A,#N/A,TRUE,"Warrington";#N/A,#N/A,TRUE,"Widnes"}</definedName>
    <definedName name="khgfkhgf" hidden="1">{#N/A,#N/A,TRUE,"Cover";#N/A,#N/A,TRUE,"Conts";#N/A,#N/A,TRUE,"VOS";#N/A,#N/A,TRUE,"Warrington";#N/A,#N/A,TRUE,"Widnes"}</definedName>
    <definedName name="kiulil" localSheetId="2" hidden="1">{#N/A,#N/A,FALSE,"CCTV"}</definedName>
    <definedName name="kiulil" hidden="1">{#N/A,#N/A,FALSE,"CCTV"}</definedName>
    <definedName name="kj" localSheetId="2" hidden="1">#REF!</definedName>
    <definedName name="kj" hidden="1">#REF!</definedName>
    <definedName name="kjhkj" localSheetId="2"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jhlh" localSheetId="2" hidden="1">{#N/A,#N/A,FALSE,"CCTV"}</definedName>
    <definedName name="kjhlh" hidden="1">{#N/A,#N/A,FALSE,"CCTV"}</definedName>
    <definedName name="kjhljhk" localSheetId="2" hidden="1">{#N/A,#N/A,FALSE,"CCTV"}</definedName>
    <definedName name="kjhljhk" hidden="1">{#N/A,#N/A,FALSE,"CCTV"}</definedName>
    <definedName name="kkkk" localSheetId="2" hidden="1">{#N/A,#N/A,FALSE,"Motor List"}</definedName>
    <definedName name="kkkk" hidden="1">{#N/A,#N/A,FALSE,"Motor List"}</definedName>
    <definedName name="kklmlk" localSheetId="2" hidden="1">{#N/A,#N/A,TRUE,"Cover";#N/A,#N/A,TRUE,"Conts";#N/A,#N/A,TRUE,"VOS";#N/A,#N/A,TRUE,"Warrington";#N/A,#N/A,TRUE,"Widnes"}</definedName>
    <definedName name="kklmlk" hidden="1">{#N/A,#N/A,TRUE,"Cover";#N/A,#N/A,TRUE,"Conts";#N/A,#N/A,TRUE,"VOS";#N/A,#N/A,TRUE,"Warrington";#N/A,#N/A,TRUE,"Widnes"}</definedName>
    <definedName name="klkloo" localSheetId="2" hidden="1">{#N/A,#N/A,TRUE,"Front";#N/A,#N/A,TRUE,"Simple Letter";#N/A,#N/A,TRUE,"Inside";#N/A,#N/A,TRUE,"Contents";#N/A,#N/A,TRUE,"Basis";#N/A,#N/A,TRUE,"Inclusions";#N/A,#N/A,TRUE,"Exclusions";#N/A,#N/A,TRUE,"Areas";#N/A,#N/A,TRUE,"Summary";#N/A,#N/A,TRUE,"Detail"}</definedName>
    <definedName name="klkloo" hidden="1">{#N/A,#N/A,TRUE,"Front";#N/A,#N/A,TRUE,"Simple Letter";#N/A,#N/A,TRUE,"Inside";#N/A,#N/A,TRUE,"Contents";#N/A,#N/A,TRUE,"Basis";#N/A,#N/A,TRUE,"Inclusions";#N/A,#N/A,TRUE,"Exclusions";#N/A,#N/A,TRUE,"Areas";#N/A,#N/A,TRUE,"Summary";#N/A,#N/A,TRUE,"Detail"}</definedName>
    <definedName name="KO" localSheetId="2" hidden="1">{"'Break down'!$A$4"}</definedName>
    <definedName name="KO" hidden="1">{"'Break down'!$A$4"}</definedName>
    <definedName name="koljl" localSheetId="2" hidden="1">{#N/A,#N/A,TRUE,"Front";#N/A,#N/A,TRUE,"Simple Letter";#N/A,#N/A,TRUE,"Inside";#N/A,#N/A,TRUE,"Contents";#N/A,#N/A,TRUE,"Basis";#N/A,#N/A,TRUE,"Inclusions";#N/A,#N/A,TRUE,"Exclusions";#N/A,#N/A,TRUE,"Areas";#N/A,#N/A,TRUE,"Summary";#N/A,#N/A,TRUE,"Detail"}</definedName>
    <definedName name="koljl" hidden="1">{#N/A,#N/A,TRUE,"Front";#N/A,#N/A,TRUE,"Simple Letter";#N/A,#N/A,TRUE,"Inside";#N/A,#N/A,TRUE,"Contents";#N/A,#N/A,TRUE,"Basis";#N/A,#N/A,TRUE,"Inclusions";#N/A,#N/A,TRUE,"Exclusions";#N/A,#N/A,TRUE,"Areas";#N/A,#N/A,TRUE,"Summary";#N/A,#N/A,TRUE,"Detail"}</definedName>
    <definedName name="kolk" localSheetId="2" hidden="1">{#N/A,#N/A,TRUE,"Front";#N/A,#N/A,TRUE,"Simple Letter";#N/A,#N/A,TRUE,"Inside";#N/A,#N/A,TRUE,"Contents";#N/A,#N/A,TRUE,"Basis";#N/A,#N/A,TRUE,"Inclusions";#N/A,#N/A,TRUE,"Exclusions";#N/A,#N/A,TRUE,"Areas";#N/A,#N/A,TRUE,"Summary";#N/A,#N/A,TRUE,"Detail"}</definedName>
    <definedName name="kolk" hidden="1">{#N/A,#N/A,TRUE,"Front";#N/A,#N/A,TRUE,"Simple Letter";#N/A,#N/A,TRUE,"Inside";#N/A,#N/A,TRUE,"Contents";#N/A,#N/A,TRUE,"Basis";#N/A,#N/A,TRUE,"Inclusions";#N/A,#N/A,TRUE,"Exclusions";#N/A,#N/A,TRUE,"Areas";#N/A,#N/A,TRUE,"Summary";#N/A,#N/A,TRUE,"Detail"}</definedName>
    <definedName name="kp" localSheetId="2" hidden="1">{#N/A,#N/A,TRUE,"Front";#N/A,#N/A,TRUE,"Simple Letter";#N/A,#N/A,TRUE,"Inside";#N/A,#N/A,TRUE,"Contents";#N/A,#N/A,TRUE,"Basis";#N/A,#N/A,TRUE,"Inclusions";#N/A,#N/A,TRUE,"Exclusions";#N/A,#N/A,TRUE,"Areas";#N/A,#N/A,TRUE,"Summary";#N/A,#N/A,TRUE,"Detail"}</definedName>
    <definedName name="kp" hidden="1">{#N/A,#N/A,TRUE,"Front";#N/A,#N/A,TRUE,"Simple Letter";#N/A,#N/A,TRUE,"Inside";#N/A,#N/A,TRUE,"Contents";#N/A,#N/A,TRUE,"Basis";#N/A,#N/A,TRUE,"Inclusions";#N/A,#N/A,TRUE,"Exclusions";#N/A,#N/A,TRUE,"Areas";#N/A,#N/A,TRUE,"Summary";#N/A,#N/A,TRUE,"Detail"}</definedName>
    <definedName name="kryk" localSheetId="2" hidden="1">{#N/A,#N/A,TRUE,"Cover";#N/A,#N/A,TRUE,"Conts";#N/A,#N/A,TRUE,"VOS";#N/A,#N/A,TRUE,"Warrington";#N/A,#N/A,TRUE,"Widnes"}</definedName>
    <definedName name="kryk" hidden="1">{#N/A,#N/A,TRUE,"Cover";#N/A,#N/A,TRUE,"Conts";#N/A,#N/A,TRUE,"VOS";#N/A,#N/A,TRUE,"Warrington";#N/A,#N/A,TRUE,"Widnes"}</definedName>
    <definedName name="ktf" localSheetId="2" hidden="1">#REF!</definedName>
    <definedName name="ktf" hidden="1">#REF!</definedName>
    <definedName name="kty" localSheetId="2" hidden="1">#REF!</definedName>
    <definedName name="kty" hidden="1">#REF!</definedName>
    <definedName name="kui" localSheetId="2" hidden="1">{#N/A,#N/A,TRUE,"Front";#N/A,#N/A,TRUE,"Simple Letter";#N/A,#N/A,TRUE,"Inside";#N/A,#N/A,TRUE,"Contents";#N/A,#N/A,TRUE,"Basis";#N/A,#N/A,TRUE,"Inclusions";#N/A,#N/A,TRUE,"Exclusions";#N/A,#N/A,TRUE,"Areas";#N/A,#N/A,TRUE,"Summary";#N/A,#N/A,TRUE,"Detail"}</definedName>
    <definedName name="kui" hidden="1">{#N/A,#N/A,TRUE,"Front";#N/A,#N/A,TRUE,"Simple Letter";#N/A,#N/A,TRUE,"Inside";#N/A,#N/A,TRUE,"Contents";#N/A,#N/A,TRUE,"Basis";#N/A,#N/A,TRUE,"Inclusions";#N/A,#N/A,TRUE,"Exclusions";#N/A,#N/A,TRUE,"Areas";#N/A,#N/A,TRUE,"Summary";#N/A,#N/A,TRUE,"Detail"}</definedName>
    <definedName name="KYSTH" localSheetId="2" hidden="1">{#N/A,#N/A,TRUE,"Cover";#N/A,#N/A,TRUE,"Conts";#N/A,#N/A,TRUE,"VOS";#N/A,#N/A,TRUE,"Warrington";#N/A,#N/A,TRUE,"Widnes"}</definedName>
    <definedName name="KYSTH" hidden="1">{#N/A,#N/A,TRUE,"Cover";#N/A,#N/A,TRUE,"Conts";#N/A,#N/A,TRUE,"VOS";#N/A,#N/A,TRUE,"Warrington";#N/A,#N/A,TRUE,"Widnes"}</definedName>
    <definedName name="l" hidden="1">{#N/A,#N/A,TRUE,"Cover";#N/A,#N/A,TRUE,"Conts";#N/A,#N/A,TRUE,"VOS";#N/A,#N/A,TRUE,"Warrington";#N/A,#N/A,TRUE,"Widnes"}</definedName>
    <definedName name="ledger" localSheetId="2" hidden="1">{"'Break down'!$A$4"}</definedName>
    <definedName name="ledger" hidden="1">{"'Break down'!$A$4"}</definedName>
    <definedName name="level" localSheetId="2" hidden="1">{#N/A,#N/A,TRUE,"Cover";#N/A,#N/A,TRUE,"Conts";#N/A,#N/A,TRUE,"VOS";#N/A,#N/A,TRUE,"Warrington";#N/A,#N/A,TRUE,"Widnes"}</definedName>
    <definedName name="level" hidden="1">{#N/A,#N/A,TRUE,"Cover";#N/A,#N/A,TRUE,"Conts";#N/A,#N/A,TRUE,"VOS";#N/A,#N/A,TRUE,"Warrington";#N/A,#N/A,TRUE,"Widnes"}</definedName>
    <definedName name="level3" localSheetId="2" hidden="1">{#N/A,#N/A,TRUE,"Cover";#N/A,#N/A,TRUE,"Conts";#N/A,#N/A,TRUE,"VOS";#N/A,#N/A,TRUE,"Warrington";#N/A,#N/A,TRUE,"Widnes"}</definedName>
    <definedName name="level3" hidden="1">{#N/A,#N/A,TRUE,"Cover";#N/A,#N/A,TRUE,"Conts";#N/A,#N/A,TRUE,"VOS";#N/A,#N/A,TRUE,"Warrington";#N/A,#N/A,TRUE,"Widnes"}</definedName>
    <definedName name="Level6" localSheetId="2" hidden="1">#REF!</definedName>
    <definedName name="Level6" hidden="1">#REF!</definedName>
    <definedName name="lgoguliu" localSheetId="2" hidden="1">{#N/A,#N/A,TRUE,"Cover";#N/A,#N/A,TRUE,"Conts";#N/A,#N/A,TRUE,"VOS";#N/A,#N/A,TRUE,"Warrington";#N/A,#N/A,TRUE,"Widnes"}</definedName>
    <definedName name="lgoguliu" hidden="1">{#N/A,#N/A,TRUE,"Cover";#N/A,#N/A,TRUE,"Conts";#N/A,#N/A,TRUE,"VOS";#N/A,#N/A,TRUE,"Warrington";#N/A,#N/A,TRUE,"Widnes"}</definedName>
    <definedName name="lift" localSheetId="2" hidden="1">#REF!</definedName>
    <definedName name="lift" hidden="1">#REF!</definedName>
    <definedName name="limcount" hidden="1">1</definedName>
    <definedName name="lintel" localSheetId="2" hidden="1">{"'Break down'!$A$4"}</definedName>
    <definedName name="lintel" hidden="1">{"'Break down'!$A$4"}</definedName>
    <definedName name="lintels" localSheetId="2" hidden="1">{"'Break down'!$A$4"}</definedName>
    <definedName name="lintels" hidden="1">{"'Break down'!$A$4"}</definedName>
    <definedName name="lintols" localSheetId="2" hidden="1">{"'Break down'!$A$4"}</definedName>
    <definedName name="lintols" hidden="1">{"'Break down'!$A$4"}</definedName>
    <definedName name="liop" localSheetId="2" hidden="1">{"'Break down'!$A$4"}</definedName>
    <definedName name="liop" hidden="1">{"'Break down'!$A$4"}</definedName>
    <definedName name="Liveeee" localSheetId="2" hidden="1">#REF!</definedName>
    <definedName name="Liveeee" hidden="1">#REF!</definedName>
    <definedName name="ljkㅏㅎ" localSheetId="2" hidden="1">{#N/A,#N/A,FALSE,"2~8번"}</definedName>
    <definedName name="ljkㅏㅎ" hidden="1">{#N/A,#N/A,FALSE,"2~8번"}</definedName>
    <definedName name="ljn" localSheetId="2" hidden="1">{#N/A,#N/A,FALSE,"MARCH"}</definedName>
    <definedName name="ljn" hidden="1">{#N/A,#N/A,FALSE,"MARCH"}</definedName>
    <definedName name="lk" localSheetId="2" hidden="1">#REF!</definedName>
    <definedName name="lk" hidden="1">#REF!</definedName>
    <definedName name="lkjikjoi" localSheetId="2" hidden="1">{#N/A,#N/A,TRUE,"Cover";#N/A,#N/A,TRUE,"Conts";#N/A,#N/A,TRUE,"VOS";#N/A,#N/A,TRUE,"Warrington";#N/A,#N/A,TRUE,"Widnes"}</definedName>
    <definedName name="lkjikjoi" hidden="1">{#N/A,#N/A,TRUE,"Cover";#N/A,#N/A,TRUE,"Conts";#N/A,#N/A,TRUE,"VOS";#N/A,#N/A,TRUE,"Warrington";#N/A,#N/A,TRUE,"Widnes"}</definedName>
    <definedName name="LKL" localSheetId="2"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klhlkjl" localSheetId="2" hidden="1">{#N/A,#N/A,FALSE,"CCTV"}</definedName>
    <definedName name="lklhlkjl" hidden="1">{#N/A,#N/A,FALSE,"CCTV"}</definedName>
    <definedName name="lklj" localSheetId="2" hidden="1">#REF!</definedName>
    <definedName name="lklj" hidden="1">#REF!</definedName>
    <definedName name="lkoj" localSheetId="2" hidden="1">{#N/A,#N/A,TRUE,"Front";#N/A,#N/A,TRUE,"Simple Letter";#N/A,#N/A,TRUE,"Inside";#N/A,#N/A,TRUE,"Contents";#N/A,#N/A,TRUE,"Basis";#N/A,#N/A,TRUE,"Inclusions";#N/A,#N/A,TRUE,"Exclusions";#N/A,#N/A,TRUE,"Areas";#N/A,#N/A,TRUE,"Summary";#N/A,#N/A,TRUE,"Detail"}</definedName>
    <definedName name="lkoj" hidden="1">{#N/A,#N/A,TRUE,"Front";#N/A,#N/A,TRUE,"Simple Letter";#N/A,#N/A,TRUE,"Inside";#N/A,#N/A,TRUE,"Contents";#N/A,#N/A,TRUE,"Basis";#N/A,#N/A,TRUE,"Inclusions";#N/A,#N/A,TRUE,"Exclusions";#N/A,#N/A,TRUE,"Areas";#N/A,#N/A,TRUE,"Summary";#N/A,#N/A,TRUE,"Detail"}</definedName>
    <definedName name="lkop" localSheetId="2" hidden="1">{#N/A,#N/A,TRUE,"Front";#N/A,#N/A,TRUE,"Simple Letter";#N/A,#N/A,TRUE,"Inside";#N/A,#N/A,TRUE,"Contents";#N/A,#N/A,TRUE,"Basis";#N/A,#N/A,TRUE,"Inclusions";#N/A,#N/A,TRUE,"Exclusions";#N/A,#N/A,TRUE,"Areas";#N/A,#N/A,TRUE,"Summary";#N/A,#N/A,TRUE,"Detail"}</definedName>
    <definedName name="lkop" hidden="1">{#N/A,#N/A,TRUE,"Front";#N/A,#N/A,TRUE,"Simple Letter";#N/A,#N/A,TRUE,"Inside";#N/A,#N/A,TRUE,"Contents";#N/A,#N/A,TRUE,"Basis";#N/A,#N/A,TRUE,"Inclusions";#N/A,#N/A,TRUE,"Exclusions";#N/A,#N/A,TRUE,"Areas";#N/A,#N/A,TRUE,"Summary";#N/A,#N/A,TRUE,"Detail"}</definedName>
    <definedName name="ll" hidden="1">{#N/A,#N/A,FALSE,"SumG";#N/A,#N/A,FALSE,"ElecG";#N/A,#N/A,FALSE,"MechG";#N/A,#N/A,FALSE,"GeotG";#N/A,#N/A,FALSE,"PrcsG";#N/A,#N/A,FALSE,"TunnG";#N/A,#N/A,FALSE,"CivlG";#N/A,#N/A,FALSE,"NtwkG";#N/A,#N/A,FALSE,"EstgG";#N/A,#N/A,FALSE,"PEngG"}</definedName>
    <definedName name="lll" localSheetId="2" hidden="1">{#N/A,#N/A,FALSE,"RESUMEN ECON.";#N/A,#N/A,FALSE,"Costos de R.H.";#N/A,#N/A,FALSE,"COSTO HW";#N/A,#N/A,FALSE,"CUADROS";#N/A,#N/A,FALSE,"SCADA´s";#N/A,#N/A,FALSE,"PRECIOS EQUIPOS"}</definedName>
    <definedName name="lll" hidden="1">{#N/A,#N/A,FALSE,"RESUMEN ECON.";#N/A,#N/A,FALSE,"Costos de R.H.";#N/A,#N/A,FALSE,"COSTO HW";#N/A,#N/A,FALSE,"CUADROS";#N/A,#N/A,FALSE,"SCADA´s";#N/A,#N/A,FALSE,"PRECIOS EQUIPOS"}</definedName>
    <definedName name="llll" localSheetId="2" hidden="1">{"'Break down'!$A$4"}</definedName>
    <definedName name="llll" hidden="1">{"'Break down'!$A$4"}</definedName>
    <definedName name="lllll" localSheetId="2" hidden="1">{#N/A,#N/A,FALSE,"RESUMEN ECON.";#N/A,#N/A,FALSE,"Costos de R.H.";#N/A,#N/A,FALSE,"COSTO HW";#N/A,#N/A,FALSE,"CUADROS";#N/A,#N/A,FALSE,"SCADA´s";#N/A,#N/A,FALSE,"PRECIOS EQUIPOS"}</definedName>
    <definedName name="lllll" hidden="1">{#N/A,#N/A,FALSE,"Pricing";#N/A,#N/A,FALSE,"Summary";#N/A,#N/A,FALSE,"CompProd";#N/A,#N/A,FALSE,"CompJobhrs";#N/A,#N/A,FALSE,"Escalation";#N/A,#N/A,FALSE,"Contingency";#N/A,#N/A,FALSE,"GM";#N/A,#N/A,FALSE,"CompWage";#N/A,#N/A,FALSE,"costSum"}</definedName>
    <definedName name="lmn" localSheetId="2" hidden="1">{"cost",#N/A,FALSE,"B";"Sum",#N/A,FALSE,"C";"Sal1",#N/A,FALSE,"D";"Sal2",#N/A,FALSE,"D";"Mob",#N/A,FALSE,"E";"Eqpcst1",#N/A,FALSE,"F";"Eqpcst2",#N/A,FALSE,"F";"Eqpcst3",#N/A,FALSE,"F";"Est1",#N/A,FALSE,"G";"Est2",#N/A,FALSE,"G";"Fin",#N/A,FALSE,"H";"EqpCal",#N/A,FALSE,"I";"ManCal1",#N/A,FALSE,"J";"ManCal2",#N/A,FALSE,"J";"Consm",#N/A,FALSE,"L";"B O",#N/A,FALSE,"M";"S C",#N/A,FALSE,"N"}</definedName>
    <definedName name="lmn" hidden="1">{"cost",#N/A,FALSE,"B";"Sum",#N/A,FALSE,"C";"Sal1",#N/A,FALSE,"D";"Sal2",#N/A,FALSE,"D";"Mob",#N/A,FALSE,"E";"Eqpcst1",#N/A,FALSE,"F";"Eqpcst2",#N/A,FALSE,"F";"Eqpcst3",#N/A,FALSE,"F";"Est1",#N/A,FALSE,"G";"Est2",#N/A,FALSE,"G";"Fin",#N/A,FALSE,"H";"EqpCal",#N/A,FALSE,"I";"ManCal1",#N/A,FALSE,"J";"ManCal2",#N/A,FALSE,"J";"Consm",#N/A,FALSE,"L";"B O",#N/A,FALSE,"M";"S C",#N/A,FALSE,"N"}</definedName>
    <definedName name="loi" localSheetId="2" hidden="1">{#N/A,#N/A,TRUE,"Front";#N/A,#N/A,TRUE,"Simple Letter";#N/A,#N/A,TRUE,"Inside";#N/A,#N/A,TRUE,"Contents";#N/A,#N/A,TRUE,"Basis";#N/A,#N/A,TRUE,"Inclusions";#N/A,#N/A,TRUE,"Exclusions";#N/A,#N/A,TRUE,"Areas";#N/A,#N/A,TRUE,"Summary";#N/A,#N/A,TRUE,"Detail"}</definedName>
    <definedName name="loi" hidden="1">{#N/A,#N/A,TRUE,"Front";#N/A,#N/A,TRUE,"Simple Letter";#N/A,#N/A,TRUE,"Inside";#N/A,#N/A,TRUE,"Contents";#N/A,#N/A,TRUE,"Basis";#N/A,#N/A,TRUE,"Inclusions";#N/A,#N/A,TRUE,"Exclusions";#N/A,#N/A,TRUE,"Areas";#N/A,#N/A,TRUE,"Summary";#N/A,#N/A,TRUE,"Detail"}</definedName>
    <definedName name="lok" localSheetId="2" hidden="1">{#N/A,#N/A,TRUE,"Front";#N/A,#N/A,TRUE,"Simple Letter";#N/A,#N/A,TRUE,"Inside";#N/A,#N/A,TRUE,"Contents";#N/A,#N/A,TRUE,"Basis";#N/A,#N/A,TRUE,"Inclusions";#N/A,#N/A,TRUE,"Exclusions";#N/A,#N/A,TRUE,"Areas";#N/A,#N/A,TRUE,"Summary";#N/A,#N/A,TRUE,"Detail"}</definedName>
    <definedName name="lok" hidden="1">{#N/A,#N/A,TRUE,"Front";#N/A,#N/A,TRUE,"Simple Letter";#N/A,#N/A,TRUE,"Inside";#N/A,#N/A,TRUE,"Contents";#N/A,#N/A,TRUE,"Basis";#N/A,#N/A,TRUE,"Inclusions";#N/A,#N/A,TRUE,"Exclusions";#N/A,#N/A,TRUE,"Areas";#N/A,#N/A,TRUE,"Summary";#N/A,#N/A,TRUE,"Detail"}</definedName>
    <definedName name="lop" localSheetId="2" hidden="1">{#N/A,#N/A,TRUE,"Front";#N/A,#N/A,TRUE,"Simple Letter";#N/A,#N/A,TRUE,"Inside";#N/A,#N/A,TRUE,"Contents";#N/A,#N/A,TRUE,"Basis";#N/A,#N/A,TRUE,"Inclusions";#N/A,#N/A,TRUE,"Exclusions";#N/A,#N/A,TRUE,"Areas";#N/A,#N/A,TRUE,"Summary";#N/A,#N/A,TRUE,"Detail"}</definedName>
    <definedName name="lop" hidden="1">{#N/A,#N/A,TRUE,"Front";#N/A,#N/A,TRUE,"Simple Letter";#N/A,#N/A,TRUE,"Inside";#N/A,#N/A,TRUE,"Contents";#N/A,#N/A,TRUE,"Basis";#N/A,#N/A,TRUE,"Inclusions";#N/A,#N/A,TRUE,"Exclusions";#N/A,#N/A,TRUE,"Areas";#N/A,#N/A,TRUE,"Summary";#N/A,#N/A,TRUE,"Detail"}</definedName>
    <definedName name="ma" localSheetId="2" hidden="1">{#N/A,#N/A,TRUE,"Cover";#N/A,#N/A,TRUE,"Conts";#N/A,#N/A,TRUE,"VOS";#N/A,#N/A,TRUE,"Warrington";#N/A,#N/A,TRUE,"Widnes"}</definedName>
    <definedName name="ma" hidden="1">{#N/A,#N/A,TRUE,"Cover";#N/A,#N/A,TRUE,"Conts";#N/A,#N/A,TRUE,"VOS";#N/A,#N/A,TRUE,"Warrington";#N/A,#N/A,TRUE,"Widnes"}</definedName>
    <definedName name="Machinary"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ro" hidden="1">#REF!</definedName>
    <definedName name="MAK" localSheetId="2" hidden="1">{#N/A,#N/A,TRUE,"Front";#N/A,#N/A,TRUE,"Simple Letter";#N/A,#N/A,TRUE,"Inside";#N/A,#N/A,TRUE,"Contents";#N/A,#N/A,TRUE,"Basis";#N/A,#N/A,TRUE,"Inclusions";#N/A,#N/A,TRUE,"Exclusions";#N/A,#N/A,TRUE,"Areas";#N/A,#N/A,TRUE,"Summary";#N/A,#N/A,TRUE,"Detail"}</definedName>
    <definedName name="MAK" hidden="1">{#N/A,#N/A,TRUE,"Front";#N/A,#N/A,TRUE,"Simple Letter";#N/A,#N/A,TRUE,"Inside";#N/A,#N/A,TRUE,"Contents";#N/A,#N/A,TRUE,"Basis";#N/A,#N/A,TRUE,"Inclusions";#N/A,#N/A,TRUE,"Exclusions";#N/A,#N/A,TRUE,"Areas";#N/A,#N/A,TRUE,"Summary";#N/A,#N/A,TRUE,"Detail"}</definedName>
    <definedName name="man" localSheetId="2" hidden="1">{"Total Indirect Manpower",#N/A,FALSE,"J";"Total Direct Manpower",#N/A,FALSE,"J";"Direct Structural Manpower",#N/A,FALSE,"J";"Direct Mechanical Manpower",#N/A,FALSE,"J";"Direct Piping Manpower",#N/A,FALSE,"J";"Direct Tanks Manpower",#N/A,FALSE,"J";"Direct ElecInstrSS Manpower",#N/A,FALSE,"J"}</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npower" localSheetId="2" hidden="1">{"'con_010'!$A$1:$AN$63"}</definedName>
    <definedName name="manpower" hidden="1">{#N/A,#N/A,FALSE,"손익표지";#N/A,#N/A,FALSE,"손익계산";#N/A,#N/A,FALSE,"일반관리비";#N/A,#N/A,FALSE,"영업외수익";#N/A,#N/A,FALSE,"영업외비용";#N/A,#N/A,FALSE,"매출액";#N/A,#N/A,FALSE,"요약손익";#N/A,#N/A,FALSE,"요약대차";#N/A,#N/A,FALSE,"매출채권현황";#N/A,#N/A,FALSE,"매출채권명세"}</definedName>
    <definedName name="MANPOWER2" localSheetId="2" hidden="1">{"Total Indirect Manpower",#N/A,FALSE,"J";"Total Direct Manpower",#N/A,FALSE,"J";"Direct Structural Manpower",#N/A,FALSE,"J";"Direct Mechanical Manpower",#N/A,FALSE,"J";"Direct Piping Manpower",#N/A,FALSE,"J";"Direct Tanks Manpower",#N/A,FALSE,"J";"Direct ElecInstrSS Manpower",#N/A,FALSE,"J"}</definedName>
    <definedName name="MANPOWER2" hidden="1">{"Total Indirect Manpower",#N/A,FALSE,"J";"Total Direct Manpower",#N/A,FALSE,"J";"Direct Structural Manpower",#N/A,FALSE,"J";"Direct Mechanical Manpower",#N/A,FALSE,"J";"Direct Piping Manpower",#N/A,FALSE,"J";"Direct Tanks Manpower",#N/A,FALSE,"J";"Direct ElecInstrSS Manpower",#N/A,FALSE,"J"}</definedName>
    <definedName name="mat" localSheetId="2" hidden="1">{#N/A,#N/A,TRUE,"Cover";#N/A,#N/A,TRUE,"Conts";#N/A,#N/A,TRUE,"VOS";#N/A,#N/A,TRUE,"Warrington";#N/A,#N/A,TRUE,"Widnes"}</definedName>
    <definedName name="mat" hidden="1">{#N/A,#N/A,TRUE,"Front";#N/A,#N/A,TRUE,"Simple Letter";#N/A,#N/A,TRUE,"Inside";#N/A,#N/A,TRUE,"Contents";#N/A,#N/A,TRUE,"Basis";#N/A,#N/A,TRUE,"Inclusions";#N/A,#N/A,TRUE,"Exclusions";#N/A,#N/A,TRUE,"Areas";#N/A,#N/A,TRUE,"Summary";#N/A,#N/A,TRUE,"Detail"}</definedName>
    <definedName name="materials" localSheetId="2" hidden="1">{#N/A,#N/A,FALSE,"CCTV"}</definedName>
    <definedName name="materials" hidden="1">{#N/A,#N/A,FALSE,"CCTV"}</definedName>
    <definedName name="mca" localSheetId="2" hidden="1">{"'Break down'!$A$4"}</definedName>
    <definedName name="mca" hidden="1">{"'Break down'!$A$4"}</definedName>
    <definedName name="mffnfj" localSheetId="2" hidden="1">{#N/A,#N/A,TRUE,"Front";#N/A,#N/A,TRUE,"Simple Letter";#N/A,#N/A,TRUE,"Inside";#N/A,#N/A,TRUE,"Contents";#N/A,#N/A,TRUE,"Basis";#N/A,#N/A,TRUE,"Inclusions";#N/A,#N/A,TRUE,"Exclusions";#N/A,#N/A,TRUE,"Areas";#N/A,#N/A,TRUE,"Summary";#N/A,#N/A,TRUE,"Detail"}</definedName>
    <definedName name="mffnfj" hidden="1">{#N/A,#N/A,TRUE,"Front";#N/A,#N/A,TRUE,"Simple Letter";#N/A,#N/A,TRUE,"Inside";#N/A,#N/A,TRUE,"Contents";#N/A,#N/A,TRUE,"Basis";#N/A,#N/A,TRUE,"Inclusions";#N/A,#N/A,TRUE,"Exclusions";#N/A,#N/A,TRUE,"Areas";#N/A,#N/A,TRUE,"Summary";#N/A,#N/A,TRUE,"Detail"}</definedName>
    <definedName name="MFSVMRGKF" localSheetId="2" hidden="1">{#N/A,#N/A,TRUE,"Front";#N/A,#N/A,TRUE,"Simple Letter";#N/A,#N/A,TRUE,"Inside";#N/A,#N/A,TRUE,"Contents";#N/A,#N/A,TRUE,"Basis";#N/A,#N/A,TRUE,"Inclusions";#N/A,#N/A,TRUE,"Exclusions";#N/A,#N/A,TRUE,"Areas";#N/A,#N/A,TRUE,"Summary";#N/A,#N/A,TRUE,"Detail"}</definedName>
    <definedName name="MFSVMRGKF" hidden="1">{#N/A,#N/A,TRUE,"Front";#N/A,#N/A,TRUE,"Simple Letter";#N/A,#N/A,TRUE,"Inside";#N/A,#N/A,TRUE,"Contents";#N/A,#N/A,TRUE,"Basis";#N/A,#N/A,TRUE,"Inclusions";#N/A,#N/A,TRUE,"Exclusions";#N/A,#N/A,TRUE,"Areas";#N/A,#N/A,TRUE,"Summary";#N/A,#N/A,TRUE,"Detail"}</definedName>
    <definedName name="mggjn" localSheetId="2" hidden="1">{#N/A,#N/A,TRUE,"Front";#N/A,#N/A,TRUE,"Simple Letter";#N/A,#N/A,TRUE,"Inside";#N/A,#N/A,TRUE,"Contents";#N/A,#N/A,TRUE,"Basis";#N/A,#N/A,TRUE,"Inclusions";#N/A,#N/A,TRUE,"Exclusions";#N/A,#N/A,TRUE,"Areas";#N/A,#N/A,TRUE,"Summary";#N/A,#N/A,TRUE,"Detail"}</definedName>
    <definedName name="mggjn" hidden="1">{#N/A,#N/A,TRUE,"Front";#N/A,#N/A,TRUE,"Simple Letter";#N/A,#N/A,TRUE,"Inside";#N/A,#N/A,TRUE,"Contents";#N/A,#N/A,TRUE,"Basis";#N/A,#N/A,TRUE,"Inclusions";#N/A,#N/A,TRUE,"Exclusions";#N/A,#N/A,TRUE,"Areas";#N/A,#N/A,TRUE,"Summary";#N/A,#N/A,TRUE,"Detail"}</definedName>
    <definedName name="MGM" localSheetId="2" hidden="1">#REF!</definedName>
    <definedName name="MGM" hidden="1">#REF!</definedName>
    <definedName name="mhjj" localSheetId="2" hidden="1">{"'Bill No. 7'!$A$1:$G$32"}</definedName>
    <definedName name="mhjj" hidden="1">{"'Bill No. 7'!$A$1:$G$32"}</definedName>
    <definedName name="mihhm" localSheetId="2" hidden="1">{#N/A,#N/A,TRUE,"Front";#N/A,#N/A,TRUE,"Simple Letter";#N/A,#N/A,TRUE,"Inside";#N/A,#N/A,TRUE,"Contents";#N/A,#N/A,TRUE,"Basis";#N/A,#N/A,TRUE,"Inclusions";#N/A,#N/A,TRUE,"Exclusions";#N/A,#N/A,TRUE,"Areas";#N/A,#N/A,TRUE,"Summary";#N/A,#N/A,TRUE,"Detail"}</definedName>
    <definedName name="mihhm" hidden="1">{#N/A,#N/A,TRUE,"Front";#N/A,#N/A,TRUE,"Simple Letter";#N/A,#N/A,TRUE,"Inside";#N/A,#N/A,TRUE,"Contents";#N/A,#N/A,TRUE,"Basis";#N/A,#N/A,TRUE,"Inclusions";#N/A,#N/A,TRUE,"Exclusions";#N/A,#N/A,TRUE,"Areas";#N/A,#N/A,TRUE,"Summary";#N/A,#N/A,TRUE,"Detail"}</definedName>
    <definedName name="MJNNNN" localSheetId="2" hidden="1">{#N/A,#N/A,TRUE,"Front";#N/A,#N/A,TRUE,"Simple Letter";#N/A,#N/A,TRUE,"Inside";#N/A,#N/A,TRUE,"Contents";#N/A,#N/A,TRUE,"Basis";#N/A,#N/A,TRUE,"Inclusions";#N/A,#N/A,TRUE,"Exclusions";#N/A,#N/A,TRUE,"Areas";#N/A,#N/A,TRUE,"Summary";#N/A,#N/A,TRUE,"Detail"}</definedName>
    <definedName name="MJNNNN" hidden="1">{#N/A,#N/A,TRUE,"Front";#N/A,#N/A,TRUE,"Simple Letter";#N/A,#N/A,TRUE,"Inside";#N/A,#N/A,TRUE,"Contents";#N/A,#N/A,TRUE,"Basis";#N/A,#N/A,TRUE,"Inclusions";#N/A,#N/A,TRUE,"Exclusions";#N/A,#N/A,TRUE,"Areas";#N/A,#N/A,TRUE,"Summary";#N/A,#N/A,TRUE,"Detail"}</definedName>
    <definedName name="MKF" localSheetId="2" hidden="1">{#N/A,#N/A,TRUE,"Front";#N/A,#N/A,TRUE,"Simple Letter";#N/A,#N/A,TRUE,"Inside";#N/A,#N/A,TRUE,"Contents";#N/A,#N/A,TRUE,"Basis";#N/A,#N/A,TRUE,"Inclusions";#N/A,#N/A,TRUE,"Exclusions";#N/A,#N/A,TRUE,"Areas";#N/A,#N/A,TRUE,"Summary";#N/A,#N/A,TRUE,"Detail"}</definedName>
    <definedName name="MKF" hidden="1">{#N/A,#N/A,TRUE,"Front";#N/A,#N/A,TRUE,"Simple Letter";#N/A,#N/A,TRUE,"Inside";#N/A,#N/A,TRUE,"Contents";#N/A,#N/A,TRUE,"Basis";#N/A,#N/A,TRUE,"Inclusions";#N/A,#N/A,TRUE,"Exclusions";#N/A,#N/A,TRUE,"Areas";#N/A,#N/A,TRUE,"Summary";#N/A,#N/A,TRUE,"Detail"}</definedName>
    <definedName name="MKFF" localSheetId="2" hidden="1">{#N/A,#N/A,TRUE,"Front";#N/A,#N/A,TRUE,"Simple Letter";#N/A,#N/A,TRUE,"Inside";#N/A,#N/A,TRUE,"Contents";#N/A,#N/A,TRUE,"Basis";#N/A,#N/A,TRUE,"Inclusions";#N/A,#N/A,TRUE,"Exclusions";#N/A,#N/A,TRUE,"Areas";#N/A,#N/A,TRUE,"Summary";#N/A,#N/A,TRUE,"Detail"}</definedName>
    <definedName name="MKFF" hidden="1">{#N/A,#N/A,TRUE,"Front";#N/A,#N/A,TRUE,"Simple Letter";#N/A,#N/A,TRUE,"Inside";#N/A,#N/A,TRUE,"Contents";#N/A,#N/A,TRUE,"Basis";#N/A,#N/A,TRUE,"Inclusions";#N/A,#N/A,TRUE,"Exclusions";#N/A,#N/A,TRUE,"Areas";#N/A,#N/A,TRUE,"Summary";#N/A,#N/A,TRUE,"Detail"}</definedName>
    <definedName name="MKLFEINSDF" localSheetId="2" hidden="1">{#N/A,#N/A,TRUE,"Front";#N/A,#N/A,TRUE,"Simple Letter";#N/A,#N/A,TRUE,"Inside";#N/A,#N/A,TRUE,"Contents";#N/A,#N/A,TRUE,"Basis";#N/A,#N/A,TRUE,"Inclusions";#N/A,#N/A,TRUE,"Exclusions";#N/A,#N/A,TRUE,"Areas";#N/A,#N/A,TRUE,"Summary";#N/A,#N/A,TRUE,"Detail"}</definedName>
    <definedName name="MKLFEINSDF" hidden="1">{#N/A,#N/A,TRUE,"Front";#N/A,#N/A,TRUE,"Simple Letter";#N/A,#N/A,TRUE,"Inside";#N/A,#N/A,TRUE,"Contents";#N/A,#N/A,TRUE,"Basis";#N/A,#N/A,TRUE,"Inclusions";#N/A,#N/A,TRUE,"Exclusions";#N/A,#N/A,TRUE,"Areas";#N/A,#N/A,TRUE,"Summary";#N/A,#N/A,TRUE,"Detail"}</definedName>
    <definedName name="MKLO" localSheetId="2" hidden="1">{#N/A,#N/A,TRUE,"Front";#N/A,#N/A,TRUE,"Simple Letter";#N/A,#N/A,TRUE,"Inside";#N/A,#N/A,TRUE,"Contents";#N/A,#N/A,TRUE,"Basis";#N/A,#N/A,TRUE,"Inclusions";#N/A,#N/A,TRUE,"Exclusions";#N/A,#N/A,TRUE,"Areas";#N/A,#N/A,TRUE,"Summary";#N/A,#N/A,TRUE,"Detail"}</definedName>
    <definedName name="MKLO" hidden="1">{#N/A,#N/A,TRUE,"Front";#N/A,#N/A,TRUE,"Simple Letter";#N/A,#N/A,TRUE,"Inside";#N/A,#N/A,TRUE,"Contents";#N/A,#N/A,TRUE,"Basis";#N/A,#N/A,TRUE,"Inclusions";#N/A,#N/A,TRUE,"Exclusions";#N/A,#N/A,TRUE,"Areas";#N/A,#N/A,TRUE,"Summary";#N/A,#N/A,TRUE,"Detail"}</definedName>
    <definedName name="mlgkjgng" localSheetId="2" hidden="1">{#N/A,#N/A,TRUE,"Front";#N/A,#N/A,TRUE,"Simple Letter";#N/A,#N/A,TRUE,"Inside";#N/A,#N/A,TRUE,"Contents";#N/A,#N/A,TRUE,"Basis";#N/A,#N/A,TRUE,"Inclusions";#N/A,#N/A,TRUE,"Exclusions";#N/A,#N/A,TRUE,"Areas";#N/A,#N/A,TRUE,"Summary";#N/A,#N/A,TRUE,"Detail"}</definedName>
    <definedName name="mlgkjgng" hidden="1">{#N/A,#N/A,TRUE,"Front";#N/A,#N/A,TRUE,"Simple Letter";#N/A,#N/A,TRUE,"Inside";#N/A,#N/A,TRUE,"Contents";#N/A,#N/A,TRUE,"Basis";#N/A,#N/A,TRUE,"Inclusions";#N/A,#N/A,TRUE,"Exclusions";#N/A,#N/A,TRUE,"Areas";#N/A,#N/A,TRUE,"Summary";#N/A,#N/A,TRUE,"Detail"}</definedName>
    <definedName name="mmmmm" localSheetId="2" hidden="1">{#N/A,#N/A,FALSE,"CCTV"}</definedName>
    <definedName name="mmmmm" hidden="1">{#N/A,#N/A,FALSE,"CCTV"}</definedName>
    <definedName name="MN" localSheetId="2" hidden="1">{#N/A,#N/A,TRUE,"Front";#N/A,#N/A,TRUE,"Simple Letter";#N/A,#N/A,TRUE,"Inside";#N/A,#N/A,TRUE,"Contents";#N/A,#N/A,TRUE,"Basis";#N/A,#N/A,TRUE,"Inclusions";#N/A,#N/A,TRUE,"Exclusions";#N/A,#N/A,TRUE,"Areas";#N/A,#N/A,TRUE,"Summary";#N/A,#N/A,TRUE,"Detail"}</definedName>
    <definedName name="MN" hidden="1">{#N/A,#N/A,TRUE,"Front";#N/A,#N/A,TRUE,"Simple Letter";#N/A,#N/A,TRUE,"Inside";#N/A,#N/A,TRUE,"Contents";#N/A,#N/A,TRUE,"Basis";#N/A,#N/A,TRUE,"Inclusions";#N/A,#N/A,TRUE,"Exclusions";#N/A,#N/A,TRUE,"Areas";#N/A,#N/A,TRUE,"Summary";#N/A,#N/A,TRUE,"Detail"}</definedName>
    <definedName name="mnjn" localSheetId="2" hidden="1">{#N/A,#N/A,TRUE,"Front";#N/A,#N/A,TRUE,"Simple Letter";#N/A,#N/A,TRUE,"Inside";#N/A,#N/A,TRUE,"Contents";#N/A,#N/A,TRUE,"Basis";#N/A,#N/A,TRUE,"Inclusions";#N/A,#N/A,TRUE,"Exclusions";#N/A,#N/A,TRUE,"Areas";#N/A,#N/A,TRUE,"Summary";#N/A,#N/A,TRUE,"Detail"}</definedName>
    <definedName name="mnjn" hidden="1">{#N/A,#N/A,TRUE,"Front";#N/A,#N/A,TRUE,"Simple Letter";#N/A,#N/A,TRUE,"Inside";#N/A,#N/A,TRUE,"Contents";#N/A,#N/A,TRUE,"Basis";#N/A,#N/A,TRUE,"Inclusions";#N/A,#N/A,TRUE,"Exclusions";#N/A,#N/A,TRUE,"Areas";#N/A,#N/A,TRUE,"Summary";#N/A,#N/A,TRUE,"Detail"}</definedName>
    <definedName name="mnmbb" localSheetId="2" hidden="1">{#N/A,#N/A,TRUE,"Front";#N/A,#N/A,TRUE,"Simple Letter";#N/A,#N/A,TRUE,"Inside";#N/A,#N/A,TRUE,"Contents";#N/A,#N/A,TRUE,"Basis";#N/A,#N/A,TRUE,"Inclusions";#N/A,#N/A,TRUE,"Exclusions";#N/A,#N/A,TRUE,"Areas";#N/A,#N/A,TRUE,"Summary";#N/A,#N/A,TRUE,"Detail"}</definedName>
    <definedName name="mnmbb" hidden="1">{#N/A,#N/A,TRUE,"Front";#N/A,#N/A,TRUE,"Simple Letter";#N/A,#N/A,TRUE,"Inside";#N/A,#N/A,TRUE,"Contents";#N/A,#N/A,TRUE,"Basis";#N/A,#N/A,TRUE,"Inclusions";#N/A,#N/A,TRUE,"Exclusions";#N/A,#N/A,TRUE,"Areas";#N/A,#N/A,TRUE,"Summary";#N/A,#N/A,TRUE,"Detail"}</definedName>
    <definedName name="MOS2I" localSheetId="2" hidden="1">{#N/A,#N/A,FALSE,"MARCH"}</definedName>
    <definedName name="MOS2I" hidden="1">{#N/A,#N/A,FALSE,"MARCH"}</definedName>
    <definedName name="mouli" localSheetId="2" hidden="1">{"'Sheet1'!$A$4386:$N$4591"}</definedName>
    <definedName name="mouli" hidden="1">{"'Sheet1'!$A$4386:$N$4591"}</definedName>
    <definedName name="MP" hidden="1">#REF!</definedName>
    <definedName name="MTB_SLAB" localSheetId="2" hidden="1">#REF!</definedName>
    <definedName name="MTB_SLAB" hidden="1">#REF!</definedName>
    <definedName name="mto" localSheetId="2" hidden="1">{"b",#N/A,FALSE,"B";"C 1",#N/A,FALSE,"C";"C 2",#N/A,FALSE,"C";"D 1",#N/A,FALSE,"D";"d 2",#N/A,FALSE,"D";"D 3",#N/A,FALSE,"D";"E",#N/A,FALSE,"E";"F 1",#N/A,FALSE,"F";"F 2",#N/A,FALSE,"F";"F 3",#N/A,FALSE,"F";"G 1",#N/A,FALSE,"G";"G 2",#N/A,FALSE,"G";"I 1",#N/A,FALSE,"I";"J 1",#N/A,FALSE,"J";"J 2",#N/A,FALSE,"J";"L",#N/A,FALSE,"L";"M 1",#N/A,FALSE,"M";"N",#N/A,FALSE,"N"}</definedName>
    <definedName name="mto" hidden="1">{"b",#N/A,FALSE,"B";"C 1",#N/A,FALSE,"C";"C 2",#N/A,FALSE,"C";"D 1",#N/A,FALSE,"D";"d 2",#N/A,FALSE,"D";"D 3",#N/A,FALSE,"D";"E",#N/A,FALSE,"E";"F 1",#N/A,FALSE,"F";"F 2",#N/A,FALSE,"F";"F 3",#N/A,FALSE,"F";"G 1",#N/A,FALSE,"G";"G 2",#N/A,FALSE,"G";"I 1",#N/A,FALSE,"I";"J 1",#N/A,FALSE,"J";"J 2",#N/A,FALSE,"J";"L",#N/A,FALSE,"L";"M 1",#N/A,FALSE,"M";"N",#N/A,FALSE,"N"}</definedName>
    <definedName name="nandan"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DDISC" localSheetId="2" hidden="1">#REF!</definedName>
    <definedName name="NBDDISC" hidden="1">#REF!</definedName>
    <definedName name="NBHBM" localSheetId="2" hidden="1">{#N/A,#N/A,TRUE,"Front";#N/A,#N/A,TRUE,"Simple Letter";#N/A,#N/A,TRUE,"Inside";#N/A,#N/A,TRUE,"Contents";#N/A,#N/A,TRUE,"Basis";#N/A,#N/A,TRUE,"Inclusions";#N/A,#N/A,TRUE,"Exclusions";#N/A,#N/A,TRUE,"Areas";#N/A,#N/A,TRUE,"Summary";#N/A,#N/A,TRUE,"Detail"}</definedName>
    <definedName name="NBHBM" hidden="1">{#N/A,#N/A,TRUE,"Front";#N/A,#N/A,TRUE,"Simple Letter";#N/A,#N/A,TRUE,"Inside";#N/A,#N/A,TRUE,"Contents";#N/A,#N/A,TRUE,"Basis";#N/A,#N/A,TRUE,"Inclusions";#N/A,#N/A,TRUE,"Exclusions";#N/A,#N/A,TRUE,"Areas";#N/A,#N/A,TRUE,"Summary";#N/A,#N/A,TRUE,"Detail"}</definedName>
    <definedName name="nddddddddf" localSheetId="2" hidden="1">{#N/A,#N/A,TRUE,"Cover";#N/A,#N/A,TRUE,"Conts";#N/A,#N/A,TRUE,"VOS";#N/A,#N/A,TRUE,"Warrington";#N/A,#N/A,TRUE,"Widnes"}</definedName>
    <definedName name="nddddddddf" hidden="1">{#N/A,#N/A,TRUE,"Cover";#N/A,#N/A,TRUE,"Conts";#N/A,#N/A,TRUE,"VOS";#N/A,#N/A,TRUE,"Warrington";#N/A,#N/A,TRUE,"Widnes"}</definedName>
    <definedName name="NEWNAME" localSheetId="2" hidden="1">{#N/A,#N/A,FALSE,"CCTV"}</definedName>
    <definedName name="NEWNAME" hidden="1">{#N/A,#N/A,FALSE,"CCTV"}</definedName>
    <definedName name="NGK" localSheetId="2" hidden="1">{#N/A,#N/A,FALSE,"估價單  (3)"}</definedName>
    <definedName name="NGK" hidden="1">{#N/A,#N/A,FALSE,"估價單  (3)"}</definedName>
    <definedName name="nkknk" localSheetId="2" hidden="1">{#N/A,#N/A,FALSE,"CCTV"}</definedName>
    <definedName name="nkknk" hidden="1">{#N/A,#N/A,FALSE,"CCTV"}</definedName>
    <definedName name="nnn" localSheetId="2"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nn" localSheetId="2" hidden="1">{#N/A,#N/A,FALSE,"SumG";#N/A,#N/A,FALSE,"ElecG";#N/A,#N/A,FALSE,"MechG";#N/A,#N/A,FALSE,"GeotG";#N/A,#N/A,FALSE,"PrcsG";#N/A,#N/A,FALSE,"TunnG";#N/A,#N/A,FALSE,"CivlG";#N/A,#N/A,FALSE,"NtwkG";#N/A,#N/A,FALSE,"EstgG";#N/A,#N/A,FALSE,"PEngG"}</definedName>
    <definedName name="nnnnn" hidden="1">{#N/A,#N/A,FALSE,"SumG";#N/A,#N/A,FALSE,"ElecG";#N/A,#N/A,FALSE,"MechG";#N/A,#N/A,FALSE,"GeotG";#N/A,#N/A,FALSE,"PrcsG";#N/A,#N/A,FALSE,"TunnG";#N/A,#N/A,FALSE,"CivlG";#N/A,#N/A,FALSE,"NtwkG";#N/A,#N/A,FALSE,"EstgG";#N/A,#N/A,FALSE,"PEngG"}</definedName>
    <definedName name="NO" hidden="1">#REF!</definedName>
    <definedName name="none" localSheetId="2" hidden="1">{#N/A,#N/A,FALSE,"BS-lead";#N/A,#N/A,FALSE,"BS- cladding";#N/A,#N/A,FALSE,"BS-GRC";#N/A,#N/A,FALSE,"P&amp;L-Lead";#N/A,#N/A,FALSE,"P&amp;L-Cladding";#N/A,#N/A,FALSE,"P&amp;L-GRC"}</definedName>
    <definedName name="none" hidden="1">{#N/A,#N/A,FALSE,"BS-lead";#N/A,#N/A,FALSE,"BS- cladding";#N/A,#N/A,FALSE,"BS-GRC";#N/A,#N/A,FALSE,"P&amp;L-Lead";#N/A,#N/A,FALSE,"P&amp;L-Cladding";#N/A,#N/A,FALSE,"P&amp;L-GRC"}</definedName>
    <definedName name="Noting" localSheetId="2" hidden="1">{"ECA Qtrs C",#N/A,TRUE,"ECA_Qtrs_C";"ECA Qtrs D",#N/A,TRUE,"ECA_Qtrs_D";"ECA Qtrs F",#N/A,TRUE,"ECA_Qtrs_F";"ECA Qtrs G",#N/A,TRUE,"ECA_Qtrs_G";"ECA SisterApt",#N/A,TRUE,"ECA_SisterApt";"ECA Nurses",#N/A,TRUE,"ECA_NursesHostel"}</definedName>
    <definedName name="Noting" hidden="1">{"ECA Qtrs C",#N/A,TRUE,"ECA_Qtrs_C";"ECA Qtrs D",#N/A,TRUE,"ECA_Qtrs_D";"ECA Qtrs F",#N/A,TRUE,"ECA_Qtrs_F";"ECA Qtrs G",#N/A,TRUE,"ECA_Qtrs_G";"ECA SisterApt",#N/A,TRUE,"ECA_SisterApt";"ECA Nurses",#N/A,TRUE,"ECA_NursesHostel"}</definedName>
    <definedName name="Nov" localSheetId="2" hidden="1">{#N/A,#N/A,TRUE,"Front";#N/A,#N/A,TRUE,"Simple Letter";#N/A,#N/A,TRUE,"Inside";#N/A,#N/A,TRUE,"Contents";#N/A,#N/A,TRUE,"Basis";#N/A,#N/A,TRUE,"Inclusions";#N/A,#N/A,TRUE,"Exclusions";#N/A,#N/A,TRUE,"Areas";#N/A,#N/A,TRUE,"Summary";#N/A,#N/A,TRUE,"Detail"}</definedName>
    <definedName name="Nov" hidden="1">{#N/A,#N/A,TRUE,"Front";#N/A,#N/A,TRUE,"Simple Letter";#N/A,#N/A,TRUE,"Inside";#N/A,#N/A,TRUE,"Contents";#N/A,#N/A,TRUE,"Basis";#N/A,#N/A,TRUE,"Inclusions";#N/A,#N/A,TRUE,"Exclusions";#N/A,#N/A,TRUE,"Areas";#N/A,#N/A,TRUE,"Summary";#N/A,#N/A,TRUE,"Detail"}</definedName>
    <definedName name="nsdff" localSheetId="2" hidden="1">{#N/A,#N/A,TRUE,"Front";#N/A,#N/A,TRUE,"Simple Letter";#N/A,#N/A,TRUE,"Inside";#N/A,#N/A,TRUE,"Contents";#N/A,#N/A,TRUE,"Basis";#N/A,#N/A,TRUE,"Inclusions";#N/A,#N/A,TRUE,"Exclusions";#N/A,#N/A,TRUE,"Areas";#N/A,#N/A,TRUE,"Summary";#N/A,#N/A,TRUE,"Detail"}</definedName>
    <definedName name="nsdff" hidden="1">{#N/A,#N/A,TRUE,"Front";#N/A,#N/A,TRUE,"Simple Letter";#N/A,#N/A,TRUE,"Inside";#N/A,#N/A,TRUE,"Contents";#N/A,#N/A,TRUE,"Basis";#N/A,#N/A,TRUE,"Inclusions";#N/A,#N/A,TRUE,"Exclusions";#N/A,#N/A,TRUE,"Areas";#N/A,#N/A,TRUE,"Summary";#N/A,#N/A,TRUE,"Detail"}</definedName>
    <definedName name="nujnnnb" localSheetId="2" hidden="1">{#N/A,#N/A,TRUE,"Front";#N/A,#N/A,TRUE,"Simple Letter";#N/A,#N/A,TRUE,"Inside";#N/A,#N/A,TRUE,"Contents";#N/A,#N/A,TRUE,"Basis";#N/A,#N/A,TRUE,"Inclusions";#N/A,#N/A,TRUE,"Exclusions";#N/A,#N/A,TRUE,"Areas";#N/A,#N/A,TRUE,"Summary";#N/A,#N/A,TRUE,"Detail"}</definedName>
    <definedName name="nujnnnb" hidden="1">{#N/A,#N/A,TRUE,"Front";#N/A,#N/A,TRUE,"Simple Letter";#N/A,#N/A,TRUE,"Inside";#N/A,#N/A,TRUE,"Contents";#N/A,#N/A,TRUE,"Basis";#N/A,#N/A,TRUE,"Inclusions";#N/A,#N/A,TRUE,"Exclusions";#N/A,#N/A,TRUE,"Areas";#N/A,#N/A,TRUE,"Summary";#N/A,#N/A,TRUE,"Detail"}</definedName>
    <definedName name="nujun" localSheetId="2" hidden="1">{#N/A,#N/A,TRUE,"Front";#N/A,#N/A,TRUE,"Simple Letter";#N/A,#N/A,TRUE,"Inside";#N/A,#N/A,TRUE,"Contents";#N/A,#N/A,TRUE,"Basis";#N/A,#N/A,TRUE,"Inclusions";#N/A,#N/A,TRUE,"Exclusions";#N/A,#N/A,TRUE,"Areas";#N/A,#N/A,TRUE,"Summary";#N/A,#N/A,TRUE,"Detail"}</definedName>
    <definedName name="nujun" hidden="1">{#N/A,#N/A,TRUE,"Front";#N/A,#N/A,TRUE,"Simple Letter";#N/A,#N/A,TRUE,"Inside";#N/A,#N/A,TRUE,"Contents";#N/A,#N/A,TRUE,"Basis";#N/A,#N/A,TRUE,"Inclusions";#N/A,#N/A,TRUE,"Exclusions";#N/A,#N/A,TRUE,"Areas";#N/A,#N/A,TRUE,"Summary";#N/A,#N/A,TRUE,"Detail"}</definedName>
    <definedName name="nutg" localSheetId="2" hidden="1">{#N/A,#N/A,TRUE,"Front";#N/A,#N/A,TRUE,"Simple Letter";#N/A,#N/A,TRUE,"Inside";#N/A,#N/A,TRUE,"Contents";#N/A,#N/A,TRUE,"Basis";#N/A,#N/A,TRUE,"Inclusions";#N/A,#N/A,TRUE,"Exclusions";#N/A,#N/A,TRUE,"Areas";#N/A,#N/A,TRUE,"Summary";#N/A,#N/A,TRUE,"Detail"}</definedName>
    <definedName name="nutg" hidden="1">{#N/A,#N/A,TRUE,"Front";#N/A,#N/A,TRUE,"Simple Letter";#N/A,#N/A,TRUE,"Inside";#N/A,#N/A,TRUE,"Contents";#N/A,#N/A,TRUE,"Basis";#N/A,#N/A,TRUE,"Inclusions";#N/A,#N/A,TRUE,"Exclusions";#N/A,#N/A,TRUE,"Areas";#N/A,#N/A,TRUE,"Summary";#N/A,#N/A,TRUE,"Detail"}</definedName>
    <definedName name="o" hidden="1">{#N/A,#N/A,TRUE,"Front";#N/A,#N/A,TRUE,"Simple Letter";#N/A,#N/A,TRUE,"Inside";#N/A,#N/A,TRUE,"Contents";#N/A,#N/A,TRUE,"Basis";#N/A,#N/A,TRUE,"Inclusions";#N/A,#N/A,TRUE,"Exclusions";#N/A,#N/A,TRUE,"Areas";#N/A,#N/A,TRUE,"Summary";#N/A,#N/A,TRUE,"Detail"}</definedName>
    <definedName name="o9u0piupi" localSheetId="2" hidden="1">{#N/A,#N/A,TRUE,"Cover";#N/A,#N/A,TRUE,"Conts";#N/A,#N/A,TRUE,"VOS";#N/A,#N/A,TRUE,"Warrington";#N/A,#N/A,TRUE,"Widnes"}</definedName>
    <definedName name="o9u0piupi" hidden="1">{#N/A,#N/A,TRUE,"Cover";#N/A,#N/A,TRUE,"Conts";#N/A,#N/A,TRUE,"VOS";#N/A,#N/A,TRUE,"Warrington";#N/A,#N/A,TRUE,"Widnes"}</definedName>
    <definedName name="oa" hidden="1">#REF!</definedName>
    <definedName name="ODH" localSheetId="2" hidden="1">#REF!</definedName>
    <definedName name="ODH" hidden="1">#REF!</definedName>
    <definedName name="oi" localSheetId="2" hidden="1">{#N/A,#N/A,TRUE,"Cover";#N/A,#N/A,TRUE,"Conts";#N/A,#N/A,TRUE,"VOS";#N/A,#N/A,TRUE,"Warrington";#N/A,#N/A,TRUE,"Widnes"}</definedName>
    <definedName name="oi" hidden="1">{#N/A,#N/A,TRUE,"Cover";#N/A,#N/A,TRUE,"Conts";#N/A,#N/A,TRUE,"VOS";#N/A,#N/A,TRUE,"Warrington";#N/A,#N/A,TRUE,"Widnes"}</definedName>
    <definedName name="oililui" localSheetId="2" hidden="1">{#N/A,#N/A,FALSE,"CCTV"}</definedName>
    <definedName name="oililui" hidden="1">{#N/A,#N/A,FALSE,"CCTV"}</definedName>
    <definedName name="oip" localSheetId="2" hidden="1">{"'Break down'!$A$4"}</definedName>
    <definedName name="oip" hidden="1">{"'Break down'!$A$4"}</definedName>
    <definedName name="oiyu" localSheetId="2" hidden="1">{#N/A,#N/A,TRUE,"Front";#N/A,#N/A,TRUE,"Simple Letter";#N/A,#N/A,TRUE,"Inside";#N/A,#N/A,TRUE,"Contents";#N/A,#N/A,TRUE,"Basis";#N/A,#N/A,TRUE,"Inclusions";#N/A,#N/A,TRUE,"Exclusions";#N/A,#N/A,TRUE,"Areas";#N/A,#N/A,TRUE,"Summary";#N/A,#N/A,TRUE,"Detail"}</definedName>
    <definedName name="oiyu" hidden="1">{#N/A,#N/A,TRUE,"Front";#N/A,#N/A,TRUE,"Simple Letter";#N/A,#N/A,TRUE,"Inside";#N/A,#N/A,TRUE,"Contents";#N/A,#N/A,TRUE,"Basis";#N/A,#N/A,TRUE,"Inclusions";#N/A,#N/A,TRUE,"Exclusions";#N/A,#N/A,TRUE,"Areas";#N/A,#N/A,TRUE,"Summary";#N/A,#N/A,TRUE,"Detail"}</definedName>
    <definedName name="oll" localSheetId="2" hidden="1">{#N/A,#N/A,TRUE,"Front";#N/A,#N/A,TRUE,"Simple Letter";#N/A,#N/A,TRUE,"Inside";#N/A,#N/A,TRUE,"Contents";#N/A,#N/A,TRUE,"Basis";#N/A,#N/A,TRUE,"Inclusions";#N/A,#N/A,TRUE,"Exclusions";#N/A,#N/A,TRUE,"Areas";#N/A,#N/A,TRUE,"Summary";#N/A,#N/A,TRUE,"Detail"}</definedName>
    <definedName name="oll" hidden="1">{#N/A,#N/A,TRUE,"Front";#N/A,#N/A,TRUE,"Simple Letter";#N/A,#N/A,TRUE,"Inside";#N/A,#N/A,TRUE,"Contents";#N/A,#N/A,TRUE,"Basis";#N/A,#N/A,TRUE,"Inclusions";#N/A,#N/A,TRUE,"Exclusions";#N/A,#N/A,TRUE,"Areas";#N/A,#N/A,TRUE,"Summary";#N/A,#N/A,TRUE,"Detail"}</definedName>
    <definedName name="omnj" localSheetId="2" hidden="1">{#N/A,#N/A,TRUE,"Front";#N/A,#N/A,TRUE,"Simple Letter";#N/A,#N/A,TRUE,"Inside";#N/A,#N/A,TRUE,"Contents";#N/A,#N/A,TRUE,"Basis";#N/A,#N/A,TRUE,"Inclusions";#N/A,#N/A,TRUE,"Exclusions";#N/A,#N/A,TRUE,"Areas";#N/A,#N/A,TRUE,"Summary";#N/A,#N/A,TRUE,"Detail"}</definedName>
    <definedName name="omnj" hidden="1">{#N/A,#N/A,TRUE,"Front";#N/A,#N/A,TRUE,"Simple Letter";#N/A,#N/A,TRUE,"Inside";#N/A,#N/A,TRUE,"Contents";#N/A,#N/A,TRUE,"Basis";#N/A,#N/A,TRUE,"Inclusions";#N/A,#N/A,TRUE,"Exclusions";#N/A,#N/A,TRUE,"Areas";#N/A,#N/A,TRUE,"Summary";#N/A,#N/A,TRUE,"Detail"}</definedName>
    <definedName name="OO" localSheetId="2" hidden="1">{"'Sheet1'!$A$4386:$N$4591"}</definedName>
    <definedName name="OO" hidden="1">{"'Sheet1'!$A$4386:$N$4591"}</definedName>
    <definedName name="opogd" localSheetId="2" hidden="1">{#N/A,#N/A,TRUE,"Cover";#N/A,#N/A,TRUE,"Conts";#N/A,#N/A,TRUE,"VOS";#N/A,#N/A,TRUE,"Warrington";#N/A,#N/A,TRUE,"Widnes"}</definedName>
    <definedName name="opogd" hidden="1">{#N/A,#N/A,TRUE,"Cover";#N/A,#N/A,TRUE,"Conts";#N/A,#N/A,TRUE,"VOS";#N/A,#N/A,TRUE,"Warrington";#N/A,#N/A,TRUE,"Widnes"}</definedName>
    <definedName name="opq" localSheetId="2" hidden="1">{"b",#N/A,FALSE,"B";"C 1",#N/A,FALSE,"C";"C 2",#N/A,FALSE,"C";"D 1",#N/A,FALSE,"D";"d 2",#N/A,FALSE,"D";"D 3",#N/A,FALSE,"D";"E",#N/A,FALSE,"E";"F 1",#N/A,FALSE,"F";"F 2",#N/A,FALSE,"F";"F 3",#N/A,FALSE,"F";"G 1",#N/A,FALSE,"G";"G 2",#N/A,FALSE,"G";"I 1",#N/A,FALSE,"I";"J 1",#N/A,FALSE,"J";"J 2",#N/A,FALSE,"J";"L",#N/A,FALSE,"L";"M 1",#N/A,FALSE,"M";"N",#N/A,FALSE,"N"}</definedName>
    <definedName name="opq" hidden="1">{"b",#N/A,FALSE,"B";"C 1",#N/A,FALSE,"C";"C 2",#N/A,FALSE,"C";"D 1",#N/A,FALSE,"D";"d 2",#N/A,FALSE,"D";"D 3",#N/A,FALSE,"D";"E",#N/A,FALSE,"E";"F 1",#N/A,FALSE,"F";"F 2",#N/A,FALSE,"F";"F 3",#N/A,FALSE,"F";"G 1",#N/A,FALSE,"G";"G 2",#N/A,FALSE,"G";"I 1",#N/A,FALSE,"I";"J 1",#N/A,FALSE,"J";"J 2",#N/A,FALSE,"J";"L",#N/A,FALSE,"L";"M 1",#N/A,FALSE,"M";"N",#N/A,FALSE,"N"}</definedName>
    <definedName name="Option1" localSheetId="2" hidden="1">#REF!</definedName>
    <definedName name="Option1" hidden="1">#REF!</definedName>
    <definedName name="OrderTable" hidden="1">#REF!</definedName>
    <definedName name="osdnvkls" localSheetId="2" hidden="1">#REF!</definedName>
    <definedName name="osdnvkls" hidden="1">#REF!</definedName>
    <definedName name="OSM" localSheetId="2" hidden="1">{#N/A,#N/A,FALSE,"TELEFON"}</definedName>
    <definedName name="OSM" hidden="1">{#N/A,#N/A,FALSE,"TELEFON"}</definedName>
    <definedName name="OTHERS" localSheetId="2" hidden="1">{"'장비'!$A$3:$M$12"}</definedName>
    <definedName name="OTHERS" hidden="1">{"'장비'!$A$3:$M$12"}</definedName>
    <definedName name="p7y" localSheetId="2" hidden="1">{#N/A,#N/A,TRUE,"Cover";#N/A,#N/A,TRUE,"Conts";#N/A,#N/A,TRUE,"VOS";#N/A,#N/A,TRUE,"Warrington";#N/A,#N/A,TRUE,"Widnes"}</definedName>
    <definedName name="p7y" hidden="1">{#N/A,#N/A,TRUE,"Cover";#N/A,#N/A,TRUE,"Conts";#N/A,#N/A,TRUE,"VOS";#N/A,#N/A,TRUE,"Warrington";#N/A,#N/A,TRUE,"Widnes"}</definedName>
    <definedName name="pafegseg" localSheetId="2" hidden="1">{#N/A,#N/A,TRUE,"Cover";#N/A,#N/A,TRUE,"Conts";#N/A,#N/A,TRUE,"VOS";#N/A,#N/A,TRUE,"Warrington";#N/A,#N/A,TRUE,"Widnes"}</definedName>
    <definedName name="pafegseg" hidden="1">{#N/A,#N/A,TRUE,"Cover";#N/A,#N/A,TRUE,"Conts";#N/A,#N/A,TRUE,"VOS";#N/A,#N/A,TRUE,"Warrington";#N/A,#N/A,TRUE,"Widnes"}</definedName>
    <definedName name="Pal_Workbook_GUID" hidden="1">"8HCIDT26H4PQ5VYPC7FKU7HT"</definedName>
    <definedName name="piperack" localSheetId="2" hidden="1">{#N/A,#N/A,TRUE,"SUMMARY";#N/A,#N/A,TRUE,"ISBL";#N/A,#N/A,TRUE,"OSBL";#N/A,#N/A,TRUE,"OFFSITE";#N/A,#N/A,TRUE,"STEAM"}</definedName>
    <definedName name="piperack" hidden="1">{#N/A,#N/A,TRUE,"SUMMARY";#N/A,#N/A,TRUE,"ISBL";#N/A,#N/A,TRUE,"OSBL";#N/A,#N/A,TRUE,"OFFSITE";#N/A,#N/A,TRUE,"STEAM"}</definedName>
    <definedName name="pkml" localSheetId="2" hidden="1">{#N/A,#N/A,TRUE,"Cover";#N/A,#N/A,TRUE,"Conts";#N/A,#N/A,TRUE,"VOS";#N/A,#N/A,TRUE,"Warrington";#N/A,#N/A,TRUE,"Widnes"}</definedName>
    <definedName name="pkml" hidden="1">{#N/A,#N/A,TRUE,"Cover";#N/A,#N/A,TRUE,"Conts";#N/A,#N/A,TRUE,"VOS";#N/A,#N/A,TRUE,"Warrington";#N/A,#N/A,TRUE,"Widnes"}</definedName>
    <definedName name="PLAT" localSheetId="2" hidden="1">{#N/A,#N/A,TRUE,"Cover";#N/A,#N/A,TRUE,"Conts";#N/A,#N/A,TRUE,"VOS";#N/A,#N/A,TRUE,"Warrington";#N/A,#N/A,TRUE,"Widnes"}</definedName>
    <definedName name="PLAT" hidden="1">{#N/A,#N/A,TRUE,"Cover";#N/A,#N/A,TRUE,"Conts";#N/A,#N/A,TRUE,"VOS";#N/A,#N/A,TRUE,"Warrington";#N/A,#N/A,TRUE,"Widnes"}</definedName>
    <definedName name="PLATFORM" localSheetId="2" hidden="1">{#N/A,#N/A,TRUE,"Cover";#N/A,#N/A,TRUE,"Conts";#N/A,#N/A,TRUE,"VOS";#N/A,#N/A,TRUE,"Warrington";#N/A,#N/A,TRUE,"Widnes"}</definedName>
    <definedName name="PLATFORM" hidden="1">{#N/A,#N/A,TRUE,"Cover";#N/A,#N/A,TRUE,"Conts";#N/A,#N/A,TRUE,"VOS";#N/A,#N/A,TRUE,"Warrington";#N/A,#N/A,TRUE,"Widnes"}</definedName>
    <definedName name="ploi" localSheetId="2" hidden="1">{#N/A,#N/A,TRUE,"Front";#N/A,#N/A,TRUE,"Simple Letter";#N/A,#N/A,TRUE,"Inside";#N/A,#N/A,TRUE,"Contents";#N/A,#N/A,TRUE,"Basis";#N/A,#N/A,TRUE,"Inclusions";#N/A,#N/A,TRUE,"Exclusions";#N/A,#N/A,TRUE,"Areas";#N/A,#N/A,TRUE,"Summary";#N/A,#N/A,TRUE,"Detail"}</definedName>
    <definedName name="ploi" hidden="1">{#N/A,#N/A,TRUE,"Front";#N/A,#N/A,TRUE,"Simple Letter";#N/A,#N/A,TRUE,"Inside";#N/A,#N/A,TRUE,"Contents";#N/A,#N/A,TRUE,"Basis";#N/A,#N/A,TRUE,"Inclusions";#N/A,#N/A,TRUE,"Exclusions";#N/A,#N/A,TRUE,"Areas";#N/A,#N/A,TRUE,"Summary";#N/A,#N/A,TRUE,"Detail"}</definedName>
    <definedName name="PO" localSheetId="2" hidden="1">{"'Break down'!$A$4"}</definedName>
    <definedName name="PO" hidden="1">{"'Break down'!$A$4"}</definedName>
    <definedName name="pojboijioljn" localSheetId="2" hidden="1">{#N/A,#N/A,TRUE,"Cover";#N/A,#N/A,TRUE,"Conts";#N/A,#N/A,TRUE,"VOS";#N/A,#N/A,TRUE,"Warrington";#N/A,#N/A,TRUE,"Widnes"}</definedName>
    <definedName name="pojboijioljn" hidden="1">{#N/A,#N/A,TRUE,"Cover";#N/A,#N/A,TRUE,"Conts";#N/A,#N/A,TRUE,"VOS";#N/A,#N/A,TRUE,"Warrington";#N/A,#N/A,TRUE,"Widnes"}</definedName>
    <definedName name="ppo" localSheetId="2" hidden="1">{"'Break down'!$A$4"}</definedName>
    <definedName name="ppo" hidden="1">{"'Break down'!$A$4"}</definedName>
    <definedName name="ppok" localSheetId="2" hidden="1">{#N/A,#N/A,TRUE,"Cover";#N/A,#N/A,TRUE,"Conts";#N/A,#N/A,TRUE,"VOS";#N/A,#N/A,TRUE,"Warrington";#N/A,#N/A,TRUE,"Widnes"}</definedName>
    <definedName name="ppok" hidden="1">{#N/A,#N/A,TRUE,"Cover";#N/A,#N/A,TRUE,"Conts";#N/A,#N/A,TRUE,"VOS";#N/A,#N/A,TRUE,"Warrington";#N/A,#N/A,TRUE,"Widnes"}</definedName>
    <definedName name="PPP" localSheetId="2" hidden="1">{#N/A,#N/A,FALSE,"CCTV"}</definedName>
    <definedName name="PPP" hidden="1">{#N/A,#N/A,FALSE,"CCTV"}</definedName>
    <definedName name="pratap" localSheetId="2" hidden="1">{"'Sheet1'!$A$4386:$N$4591"}</definedName>
    <definedName name="pratap" hidden="1">{"'Sheet1'!$A$4386:$N$4591"}</definedName>
    <definedName name="_xlnm.Print_Area" localSheetId="0">Dashboard!$A$1:$U$33</definedName>
    <definedName name="_xlnm.Print_Area" localSheetId="2">'Payment Register'!$A$1:$T$51</definedName>
    <definedName name="_xlnm.Print_Area" localSheetId="1">'Payment Summary'!$A$1:$L$43</definedName>
    <definedName name="_xlnm.Print_Area" localSheetId="5">Sheet2!$A$1:$D$36</definedName>
    <definedName name="_xlnm.Print_Area" localSheetId="3">'VO LOG (2)'!$B$1:$R$95</definedName>
    <definedName name="_xlnm.Print_Area" localSheetId="6">'VO LOG (New)'!$B$1:$P$88</definedName>
    <definedName name="_xlnm.Print_Titles" localSheetId="3">'VO LOG (2)'!$10:$10</definedName>
    <definedName name="procurement" localSheetId="2" hidden="1">{"Total Indirect Manpower",#N/A,FALSE,"J";"Total Direct Manpower",#N/A,FALSE,"J";"Direct Structural Manpower",#N/A,FALSE,"J";"Direct Mechanical Manpower",#N/A,FALSE,"J";"Direct Piping Manpower",#N/A,FALSE,"J";"Direct Tanks Manpower",#N/A,FALSE,"J";"Direct ElecInstrSS Manpower",#N/A,FALSE,"J"}</definedName>
    <definedName name="procurement" hidden="1">{"Total Indirect Manpower",#N/A,FALSE,"J";"Total Direct Manpower",#N/A,FALSE,"J";"Direct Structural Manpower",#N/A,FALSE,"J";"Direct Mechanical Manpower",#N/A,FALSE,"J";"Direct Piping Manpower",#N/A,FALSE,"J";"Direct Tanks Manpower",#N/A,FALSE,"J";"Direct ElecInstrSS Manpower",#N/A,FALSE,"J"}</definedName>
    <definedName name="ProdForm" hidden="1">#REF!</definedName>
    <definedName name="Product" hidden="1">#REF!</definedName>
    <definedName name="ProServices" localSheetId="2" hidden="1">#REF!</definedName>
    <definedName name="ProServices" hidden="1">#REF!</definedName>
    <definedName name="pswyry" localSheetId="2" hidden="1">{#N/A,#N/A,TRUE,"Cover";#N/A,#N/A,TRUE,"Conts";#N/A,#N/A,TRUE,"VOS";#N/A,#N/A,TRUE,"Warrington";#N/A,#N/A,TRUE,"Widnes"}</definedName>
    <definedName name="pswyry" hidden="1">{#N/A,#N/A,TRUE,"Cover";#N/A,#N/A,TRUE,"Conts";#N/A,#N/A,TRUE,"VOS";#N/A,#N/A,TRUE,"Warrington";#N/A,#N/A,TRUE,"Widnes"}</definedName>
    <definedName name="puy" localSheetId="2" hidden="1">{#N/A,#N/A,TRUE,"Cover";#N/A,#N/A,TRUE,"Conts";#N/A,#N/A,TRUE,"VOS";#N/A,#N/A,TRUE,"Warrington";#N/A,#N/A,TRUE,"Widnes"}</definedName>
    <definedName name="puy" hidden="1">{#N/A,#N/A,TRUE,"Cover";#N/A,#N/A,TRUE,"Conts";#N/A,#N/A,TRUE,"VOS";#N/A,#N/A,TRUE,"Warrington";#N/A,#N/A,TRUE,"Widnes"}</definedName>
    <definedName name="q" hidden="1">{#N/A,#N/A,TRUE,"Cover";#N/A,#N/A,TRUE,"Conts";#N/A,#N/A,TRUE,"VOS";#N/A,#N/A,TRUE,"Warrington";#N/A,#N/A,TRUE,"Widnes"}</definedName>
    <definedName name="q3tqtq" localSheetId="2" hidden="1">{#N/A,#N/A,TRUE,"Cover";#N/A,#N/A,TRUE,"Conts";#N/A,#N/A,TRUE,"VOS";#N/A,#N/A,TRUE,"Warrington";#N/A,#N/A,TRUE,"Widnes"}</definedName>
    <definedName name="q3tqtq" hidden="1">{#N/A,#N/A,TRUE,"Cover";#N/A,#N/A,TRUE,"Conts";#N/A,#N/A,TRUE,"VOS";#N/A,#N/A,TRUE,"Warrington";#N/A,#N/A,TRUE,"Widnes"}</definedName>
    <definedName name="q5ttyr" localSheetId="2" hidden="1">{#N/A,#N/A,TRUE,"Cover";#N/A,#N/A,TRUE,"Conts";#N/A,#N/A,TRUE,"VOS";#N/A,#N/A,TRUE,"Warrington";#N/A,#N/A,TRUE,"Widnes"}</definedName>
    <definedName name="q5ttyr" hidden="1">{#N/A,#N/A,TRUE,"Cover";#N/A,#N/A,TRUE,"Conts";#N/A,#N/A,TRUE,"VOS";#N/A,#N/A,TRUE,"Warrington";#N/A,#N/A,TRUE,"Widnes"}</definedName>
    <definedName name="qap" localSheetId="2" hidden="1">{"'Typical Costs Estimates'!$C$158:$H$161"}</definedName>
    <definedName name="qap" hidden="1">{"'Typical Costs Estimates'!$C$158:$H$161"}</definedName>
    <definedName name="qe" localSheetId="2" hidden="1">{"'Break down'!$A$4"}</definedName>
    <definedName name="qe" hidden="1">{"'Break down'!$A$4"}</definedName>
    <definedName name="qg" localSheetId="2" hidden="1">{#N/A,#N/A,FALSE,"RESUMEN ECON.";#N/A,#N/A,FALSE,"Costos de R.H.";#N/A,#N/A,FALSE,"COSTO HW";#N/A,#N/A,FALSE,"CUADROS";#N/A,#N/A,FALSE,"SCADA´s";#N/A,#N/A,FALSE,"PRECIOS EQUIPOS"}</definedName>
    <definedName name="qg" hidden="1">{#N/A,#N/A,FALSE,"RESUMEN ECON.";#N/A,#N/A,FALSE,"Costos de R.H.";#N/A,#N/A,FALSE,"COSTO HW";#N/A,#N/A,FALSE,"CUADROS";#N/A,#N/A,FALSE,"SCADA´s";#N/A,#N/A,FALSE,"PRECIOS EQUIPOS"}</definedName>
    <definedName name="qq" localSheetId="2" hidden="1">{#N/A,#N/A,TRUE,"RESUMEN ECON.";#N/A,#N/A,TRUE,"Costos de R.H.";#N/A,#N/A,TRUE,"COSTO HW";#N/A,#N/A,TRUE,"CUADROS";#N/A,#N/A,TRUE,"SCADA´s";#N/A,#N/A,TRUE,"PRECIOS EQUIPOS"}</definedName>
    <definedName name="qq" hidden="1">{#N/A,#N/A,TRUE,"RESUMEN ECON.";#N/A,#N/A,TRUE,"Costos de R.H.";#N/A,#N/A,TRUE,"COSTO HW";#N/A,#N/A,TRUE,"CUADROS";#N/A,#N/A,TRUE,"SCADA´s";#N/A,#N/A,TRUE,"PRECIOS EQUIPOS"}</definedName>
    <definedName name="qqq" localSheetId="2" hidden="1">{#N/A,#N/A,TRUE,"Cover";#N/A,#N/A,TRUE,"Conts";#N/A,#N/A,TRUE,"VOS";#N/A,#N/A,TRUE,"Warrington";#N/A,#N/A,TRUE,"Widnes"}</definedName>
    <definedName name="qqq" hidden="1">{#N/A,#N/A,TRUE,"Cover";#N/A,#N/A,TRUE,"Conts";#N/A,#N/A,TRUE,"VOS";#N/A,#N/A,TRUE,"Warrington";#N/A,#N/A,TRUE,"Widnes"}</definedName>
    <definedName name="qqqq" localSheetId="2" hidden="1">{"'장비'!$A$3:$M$12"}</definedName>
    <definedName name="qqqq" hidden="1">{"'장비'!$A$3:$M$12"}</definedName>
    <definedName name="qr" localSheetId="2" hidden="1">{#N/A,#N/A,TRUE,"Cover";#N/A,#N/A,TRUE,"Conts";#N/A,#N/A,TRUE,"VOS";#N/A,#N/A,TRUE,"Warrington";#N/A,#N/A,TRUE,"Widnes"}</definedName>
    <definedName name="qr" hidden="1">{#N/A,#N/A,TRUE,"Cover";#N/A,#N/A,TRUE,"Conts";#N/A,#N/A,TRUE,"VOS";#N/A,#N/A,TRUE,"Warrington";#N/A,#N/A,TRUE,"Widnes"}</definedName>
    <definedName name="qrt" localSheetId="2" hidden="1">{#N/A,#N/A,TRUE,"Cover";#N/A,#N/A,TRUE,"Conts";#N/A,#N/A,TRUE,"VOS";#N/A,#N/A,TRUE,"Warrington";#N/A,#N/A,TRUE,"Widnes"}</definedName>
    <definedName name="qrt" hidden="1">{#N/A,#N/A,TRUE,"Cover";#N/A,#N/A,TRUE,"Conts";#N/A,#N/A,TRUE,"VOS";#N/A,#N/A,TRUE,"Warrington";#N/A,#N/A,TRUE,"Widnes"}</definedName>
    <definedName name="qrtg" hidden="1">#REF!</definedName>
    <definedName name="qrtyyte35" hidden="1">#REF!</definedName>
    <definedName name="qrwteqry" hidden="1">#REF!</definedName>
    <definedName name="qttyry" localSheetId="2" hidden="1">{#N/A,#N/A,TRUE,"Cover";#N/A,#N/A,TRUE,"Conts";#N/A,#N/A,TRUE,"VOS";#N/A,#N/A,TRUE,"Warrington";#N/A,#N/A,TRUE,"Widnes"}</definedName>
    <definedName name="qttyry" hidden="1">{#N/A,#N/A,TRUE,"Cover";#N/A,#N/A,TRUE,"Conts";#N/A,#N/A,TRUE,"VOS";#N/A,#N/A,TRUE,"Warrington";#N/A,#N/A,TRUE,"Widnes"}</definedName>
    <definedName name="qtyhytrh" localSheetId="2" hidden="1">{#N/A,#N/A,TRUE,"Cover";#N/A,#N/A,TRUE,"Conts";#N/A,#N/A,TRUE,"VOS";#N/A,#N/A,TRUE,"Warrington";#N/A,#N/A,TRUE,"Widnes"}</definedName>
    <definedName name="qtyhytrh" hidden="1">{#N/A,#N/A,TRUE,"Cover";#N/A,#N/A,TRUE,"Conts";#N/A,#N/A,TRUE,"VOS";#N/A,#N/A,TRUE,"Warrington";#N/A,#N/A,TRUE,"Widnes"}</definedName>
    <definedName name="qtyu" localSheetId="2" hidden="1">{#N/A,#N/A,TRUE,"Cover";#N/A,#N/A,TRUE,"Conts";#N/A,#N/A,TRUE,"VOS";#N/A,#N/A,TRUE,"Warrington";#N/A,#N/A,TRUE,"Widnes"}</definedName>
    <definedName name="qtyu" hidden="1">{#N/A,#N/A,TRUE,"Cover";#N/A,#N/A,TRUE,"Conts";#N/A,#N/A,TRUE,"VOS";#N/A,#N/A,TRUE,"Warrington";#N/A,#N/A,TRUE,"Widnes"}</definedName>
    <definedName name="qtyyut" localSheetId="2" hidden="1">{#N/A,#N/A,TRUE,"Cover";#N/A,#N/A,TRUE,"Conts";#N/A,#N/A,TRUE,"VOS";#N/A,#N/A,TRUE,"Warrington";#N/A,#N/A,TRUE,"Widnes"}</definedName>
    <definedName name="qtyyut" hidden="1">{#N/A,#N/A,TRUE,"Cover";#N/A,#N/A,TRUE,"Conts";#N/A,#N/A,TRUE,"VOS";#N/A,#N/A,TRUE,"Warrington";#N/A,#N/A,TRUE,"Widnes"}</definedName>
    <definedName name="qtyyyhh" localSheetId="2" hidden="1">{#N/A,#N/A,TRUE,"Cover";#N/A,#N/A,TRUE,"Conts";#N/A,#N/A,TRUE,"VOS";#N/A,#N/A,TRUE,"Warrington";#N/A,#N/A,TRUE,"Widnes"}</definedName>
    <definedName name="qtyyyhh" hidden="1">{#N/A,#N/A,TRUE,"Cover";#N/A,#N/A,TRUE,"Conts";#N/A,#N/A,TRUE,"VOS";#N/A,#N/A,TRUE,"Warrington";#N/A,#N/A,TRUE,"Widnes"}</definedName>
    <definedName name="qury" localSheetId="2" hidden="1">{"'Break down'!$A$4"}</definedName>
    <definedName name="qury" hidden="1">{"'Break down'!$A$4"}</definedName>
    <definedName name="QW" localSheetId="2" hidden="1">{#N/A,#N/A,FALSE,"CCTV"}</definedName>
    <definedName name="QWE" localSheetId="2" hidden="1">{#N/A,#N/A,FALSE,"CCTV"}</definedName>
    <definedName name="QWER" localSheetId="2" hidden="1">{#N/A,#N/A,FALSE,"CCTV"}</definedName>
    <definedName name="QWER" hidden="1">{#N/A,#N/A,FALSE,"CCTV"}</definedName>
    <definedName name="QWERT" localSheetId="2" hidden="1">{#N/A,#N/A,FALSE,"CCTV"}</definedName>
    <definedName name="QWERT" hidden="1">{#N/A,#N/A,FALSE,"CCTV"}</definedName>
    <definedName name="qwsade" localSheetId="2" hidden="1">#REF!</definedName>
    <definedName name="qwsade" hidden="1">#REF!</definedName>
    <definedName name="raaa" localSheetId="2" hidden="1">{"'Sheet1'!$A$4386:$N$4591"}</definedName>
    <definedName name="raaa" hidden="1">{"'Sheet1'!$A$4386:$N$4591"}</definedName>
    <definedName name="raeywery" localSheetId="2" hidden="1">#REF!</definedName>
    <definedName name="raeywery" hidden="1">#REF!</definedName>
    <definedName name="rafy" localSheetId="2" hidden="1">#REF!</definedName>
    <definedName name="rafy" hidden="1">#REF!</definedName>
    <definedName name="railway" localSheetId="2" hidden="1">{"'Sheet1'!$A$4386:$N$4591"}</definedName>
    <definedName name="railway" hidden="1">{"'Sheet1'!$A$4386:$N$4591"}</definedName>
    <definedName name="Raj" hidden="1">{"'Sheet1'!$A$4386:$N$4591"}</definedName>
    <definedName name="Ranjith1126" localSheetId="2" hidden="1">{"'Break down'!$A$4"}</definedName>
    <definedName name="Ranjith1126" hidden="1">{"'Break down'!$A$4"}</definedName>
    <definedName name="rarewt" localSheetId="2" hidden="1">{#N/A,#N/A,FALSE,"CCTV"}</definedName>
    <definedName name="rarewt" hidden="1">{#N/A,#N/A,FALSE,"CCTV"}</definedName>
    <definedName name="RAS" localSheetId="2" hidden="1">{#N/A,#N/A,TRUE,"Front";#N/A,#N/A,TRUE,"Simple Letter";#N/A,#N/A,TRUE,"Inside";#N/A,#N/A,TRUE,"Contents";#N/A,#N/A,TRUE,"Basis";#N/A,#N/A,TRUE,"Inclusions";#N/A,#N/A,TRUE,"Exclusions";#N/A,#N/A,TRUE,"Areas";#N/A,#N/A,TRUE,"Summary";#N/A,#N/A,TRUE,"Detail"}</definedName>
    <definedName name="RAS" hidden="1">{#N/A,#N/A,TRUE,"Front";#N/A,#N/A,TRUE,"Simple Letter";#N/A,#N/A,TRUE,"Inside";#N/A,#N/A,TRUE,"Contents";#N/A,#N/A,TRUE,"Basis";#N/A,#N/A,TRUE,"Inclusions";#N/A,#N/A,TRUE,"Exclusions";#N/A,#N/A,TRUE,"Areas";#N/A,#N/A,TRUE,"Summary";#N/A,#N/A,TRUE,"Detail"}</definedName>
    <definedName name="rasgg" localSheetId="2" hidden="1">{#N/A,#N/A,TRUE,"Cover";#N/A,#N/A,TRUE,"Conts";#N/A,#N/A,TRUE,"VOS";#N/A,#N/A,TRUE,"Warrington";#N/A,#N/A,TRUE,"Widnes"}</definedName>
    <definedName name="rasgg" hidden="1">{#N/A,#N/A,TRUE,"Cover";#N/A,#N/A,TRUE,"Conts";#N/A,#N/A,TRUE,"VOS";#N/A,#N/A,TRUE,"Warrington";#N/A,#N/A,TRUE,"Widnes"}</definedName>
    <definedName name="ravi" localSheetId="2" hidden="1">{#N/A,#N/A,TRUE,"Front";#N/A,#N/A,TRUE,"Simple Letter";#N/A,#N/A,TRUE,"Inside";#N/A,#N/A,TRUE,"Contents";#N/A,#N/A,TRUE,"Basis";#N/A,#N/A,TRUE,"Inclusions";#N/A,#N/A,TRUE,"Exclusions";#N/A,#N/A,TRUE,"Areas";#N/A,#N/A,TRUE,"Summary";#N/A,#N/A,TRUE,"Detail"}</definedName>
    <definedName name="ravi" hidden="1">{#N/A,#N/A,TRUE,"Front";#N/A,#N/A,TRUE,"Simple Letter";#N/A,#N/A,TRUE,"Inside";#N/A,#N/A,TRUE,"Contents";#N/A,#N/A,TRUE,"Basis";#N/A,#N/A,TRUE,"Inclusions";#N/A,#N/A,TRUE,"Exclusions";#N/A,#N/A,TRUE,"Areas";#N/A,#N/A,TRUE,"Summary";#N/A,#N/A,TRUE,"Detail"}</definedName>
    <definedName name="rayh" hidden="1">#REF!</definedName>
    <definedName name="RB7.4" localSheetId="2" hidden="1">#REF!</definedName>
    <definedName name="RB7.4" hidden="1">#REF!</definedName>
    <definedName name="RCArea" hidden="1">#REF!</definedName>
    <definedName name="rdegsegrg" localSheetId="2" hidden="1">{#N/A,#N/A,TRUE,"Cover";#N/A,#N/A,TRUE,"Conts";#N/A,#N/A,TRUE,"VOS";#N/A,#N/A,TRUE,"Warrington";#N/A,#N/A,TRUE,"Widnes"}</definedName>
    <definedName name="rdegsegrg" hidden="1">{#N/A,#N/A,TRUE,"Cover";#N/A,#N/A,TRUE,"Conts";#N/A,#N/A,TRUE,"VOS";#N/A,#N/A,TRUE,"Warrington";#N/A,#N/A,TRUE,"Widnes"}</definedName>
    <definedName name="RE_CF_bank"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RE_CF_bank"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Recom" localSheetId="2" hidden="1">{"'Break down'!$A$4"}</definedName>
    <definedName name="Recom" hidden="1">{"'Break down'!$A$4"}</definedName>
    <definedName name="REN" localSheetId="2" hidden="1">{"'Break down'!$A$4"}</definedName>
    <definedName name="REN" hidden="1">{"'Break down'!$A$4"}</definedName>
    <definedName name="rer" localSheetId="2" hidden="1">{#N/A,#N/A,TRUE,"Cover";#N/A,#N/A,TRUE,"Conts";#N/A,#N/A,TRUE,"VOS";#N/A,#N/A,TRUE,"Warrington";#N/A,#N/A,TRUE,"Widnes"}</definedName>
    <definedName name="rer" hidden="1">{#N/A,#N/A,TRUE,"Cover";#N/A,#N/A,TRUE,"Conts";#N/A,#N/A,TRUE,"VOS";#N/A,#N/A,TRUE,"Warrington";#N/A,#N/A,TRUE,"Widnes"}</definedName>
    <definedName name="rewy" hidden="1">#REF!</definedName>
    <definedName name="reyh" hidden="1">#REF!</definedName>
    <definedName name="rft" localSheetId="2" hidden="1">{#N/A,#N/A,TRUE,"RESUMEN ECON.";#N/A,#N/A,TRUE,"Costos de R.H.";#N/A,#N/A,TRUE,"COSTO HW";#N/A,#N/A,TRUE,"CUADROS";#N/A,#N/A,TRUE,"SCADA´s";#N/A,#N/A,TRUE,"PRECIOS EQUIPOS"}</definedName>
    <definedName name="rft" hidden="1">{#N/A,#N/A,TRUE,"RESUMEN ECON.";#N/A,#N/A,TRUE,"Costos de R.H.";#N/A,#N/A,TRUE,"COSTO HW";#N/A,#N/A,TRUE,"CUADROS";#N/A,#N/A,TRUE,"SCADA´s";#N/A,#N/A,TRUE,"PRECIOS EQUIPOS"}</definedName>
    <definedName name="rgeg" localSheetId="2" hidden="1">{#N/A,#N/A,TRUE,"Front";#N/A,#N/A,TRUE,"Simple Letter";#N/A,#N/A,TRUE,"Inside";#N/A,#N/A,TRUE,"Contents";#N/A,#N/A,TRUE,"Basis";#N/A,#N/A,TRUE,"Inclusions";#N/A,#N/A,TRUE,"Exclusions";#N/A,#N/A,TRUE,"Areas";#N/A,#N/A,TRUE,"Summary";#N/A,#N/A,TRUE,"Detail"}</definedName>
    <definedName name="rgeg" hidden="1">{#N/A,#N/A,TRUE,"Front";#N/A,#N/A,TRUE,"Simple Letter";#N/A,#N/A,TRUE,"Inside";#N/A,#N/A,TRUE,"Contents";#N/A,#N/A,TRUE,"Basis";#N/A,#N/A,TRUE,"Inclusions";#N/A,#N/A,TRUE,"Exclusions";#N/A,#N/A,TRUE,"Areas";#N/A,#N/A,TRUE,"Summary";#N/A,#N/A,TRUE,"Detail"}</definedName>
    <definedName name="rghhythy" localSheetId="2" hidden="1">{#N/A,#N/A,TRUE,"Cover";#N/A,#N/A,TRUE,"Conts";#N/A,#N/A,TRUE,"VOS";#N/A,#N/A,TRUE,"Warrington";#N/A,#N/A,TRUE,"Widnes"}</definedName>
    <definedName name="rghhythy" hidden="1">{#N/A,#N/A,TRUE,"Cover";#N/A,#N/A,TRUE,"Conts";#N/A,#N/A,TRUE,"VOS";#N/A,#N/A,TRUE,"Warrington";#N/A,#N/A,TRUE,"Widnes"}</definedName>
    <definedName name="rhyuyi" localSheetId="2" hidden="1">{#N/A,#N/A,TRUE,"Cover";#N/A,#N/A,TRUE,"Conts";#N/A,#N/A,TRUE,"VOS";#N/A,#N/A,TRUE,"Warrington";#N/A,#N/A,TRUE,"Widnes"}</definedName>
    <definedName name="rhyuyi" hidden="1">{#N/A,#N/A,TRUE,"Cover";#N/A,#N/A,TRUE,"Conts";#N/A,#N/A,TRUE,"VOS";#N/A,#N/A,TRUE,"Warrington";#N/A,#N/A,TRUE,"Widnes"}</definedName>
    <definedName name="RiskAfterRecalcMacro" localSheetId="2" hidden="1">""</definedName>
    <definedName name="RiskAfterSimMacro" hidden="1">""</definedName>
    <definedName name="RiskBeforeRecalcMacro" hidden="1">""</definedName>
    <definedName name="RiskBeforeSimMacro" localSheetId="2" hidden="1">""</definedName>
    <definedName name="RiskHasSettings" localSheetId="2" hidden="1">5</definedName>
    <definedName name="RiskMultipleCPUSupportEnabled" hidden="1">TRUE</definedName>
    <definedName name="RiskNumIterations" localSheetId="2" hidden="1">10000</definedName>
    <definedName name="RiskStandardRecalc" localSheetId="2" hidden="1">2</definedName>
    <definedName name="rou" localSheetId="2" hidden="1">{"'Break down'!$A$4"}</definedName>
    <definedName name="rou" hidden="1">{"'Break down'!$A$4"}</definedName>
    <definedName name="rpppp" localSheetId="2" hidden="1">{"'Break down'!$A$4"}</definedName>
    <definedName name="rpppp" hidden="1">{"'Break down'!$A$4"}</definedName>
    <definedName name="rr" localSheetId="2" hidden="1">{#N/A,#N/A,TRUE,"Cover";#N/A,#N/A,TRUE,"Conts";#N/A,#N/A,TRUE,"VOS";#N/A,#N/A,TRUE,"Warrington";#N/A,#N/A,TRUE,"Widnes"}</definedName>
    <definedName name="rr" hidden="1">{#N/A,#N/A,TRUE,"Cover";#N/A,#N/A,TRUE,"Conts";#N/A,#N/A,TRUE,"VOS";#N/A,#N/A,TRUE,"Warrington";#N/A,#N/A,TRUE,"Widnes"}</definedName>
    <definedName name="rre" localSheetId="2" hidden="1">{#N/A,#N/A,TRUE,"Front";#N/A,#N/A,TRUE,"Simple Letter";#N/A,#N/A,TRUE,"Inside";#N/A,#N/A,TRUE,"Contents";#N/A,#N/A,TRUE,"Basis";#N/A,#N/A,TRUE,"Inclusions";#N/A,#N/A,TRUE,"Exclusions";#N/A,#N/A,TRUE,"Areas";#N/A,#N/A,TRUE,"Summary";#N/A,#N/A,TRUE,"Detail"}</definedName>
    <definedName name="rre" hidden="1">{#N/A,#N/A,TRUE,"Front";#N/A,#N/A,TRUE,"Simple Letter";#N/A,#N/A,TRUE,"Inside";#N/A,#N/A,TRUE,"Contents";#N/A,#N/A,TRUE,"Basis";#N/A,#N/A,TRUE,"Inclusions";#N/A,#N/A,TRUE,"Exclusions";#N/A,#N/A,TRUE,"Areas";#N/A,#N/A,TRUE,"Summary";#N/A,#N/A,TRUE,"Detail"}</definedName>
    <definedName name="rrr" localSheetId="2" hidden="1">{#N/A,#N/A,TRUE,"Cover";#N/A,#N/A,TRUE,"Conts";#N/A,#N/A,TRUE,"VOS";#N/A,#N/A,TRUE,"Warrington";#N/A,#N/A,TRUE,"Widnes"}</definedName>
    <definedName name="rrr" hidden="1">{#N/A,#N/A,TRUE,"Cover";#N/A,#N/A,TRUE,"Conts";#N/A,#N/A,TRUE,"VOS";#N/A,#N/A,TRUE,"Warrington";#N/A,#N/A,TRUE,"Widnes"}</definedName>
    <definedName name="rrrr" localSheetId="2" hidden="1">{#N/A,#N/A,TRUE,"Cover";#N/A,#N/A,TRUE,"Conts";#N/A,#N/A,TRUE,"VOS";#N/A,#N/A,TRUE,"Warrington";#N/A,#N/A,TRUE,"Widnes"}</definedName>
    <definedName name="rrrr" hidden="1">{#N/A,#N/A,TRUE,"Cover";#N/A,#N/A,TRUE,"Conts";#N/A,#N/A,TRUE,"VOS";#N/A,#N/A,TRUE,"Warrington";#N/A,#N/A,TRUE,"Widnes"}</definedName>
    <definedName name="rrrrr" localSheetId="2" hidden="1">{#N/A,#N/A,TRUE,"Cover";#N/A,#N/A,TRUE,"Conts";#N/A,#N/A,TRUE,"VOS";#N/A,#N/A,TRUE,"Warrington";#N/A,#N/A,TRUE,"Widnes"}</definedName>
    <definedName name="rrrrr" hidden="1">{#N/A,#N/A,TRUE,"Cover";#N/A,#N/A,TRUE,"Conts";#N/A,#N/A,TRUE,"VOS";#N/A,#N/A,TRUE,"Warrington";#N/A,#N/A,TRUE,"Widnes"}</definedName>
    <definedName name="rrrrrrr" localSheetId="2" hidden="1">{#N/A,#N/A,TRUE,"Cover";#N/A,#N/A,TRUE,"Conts";#N/A,#N/A,TRUE,"VOS";#N/A,#N/A,TRUE,"Warrington";#N/A,#N/A,TRUE,"Widnes"}</definedName>
    <definedName name="rrrrrrr" hidden="1">{#N/A,#N/A,TRUE,"Cover";#N/A,#N/A,TRUE,"Conts";#N/A,#N/A,TRUE,"VOS";#N/A,#N/A,TRUE,"Warrington";#N/A,#N/A,TRUE,"Widnes"}</definedName>
    <definedName name="rrrrrrrrrr" localSheetId="2" hidden="1">{#N/A,#N/A,TRUE,"Cover";#N/A,#N/A,TRUE,"Conts";#N/A,#N/A,TRUE,"VOS";#N/A,#N/A,TRUE,"Warrington";#N/A,#N/A,TRUE,"Widnes"}</definedName>
    <definedName name="rrrrrrrrrr" hidden="1">{#N/A,#N/A,TRUE,"Cover";#N/A,#N/A,TRUE,"Conts";#N/A,#N/A,TRUE,"VOS";#N/A,#N/A,TRUE,"Warrington";#N/A,#N/A,TRUE,"Widnes"}</definedName>
    <definedName name="rrttt" localSheetId="2" hidden="1">{#N/A,#N/A,TRUE,"Cover";#N/A,#N/A,TRUE,"Conts";#N/A,#N/A,TRUE,"VOS";#N/A,#N/A,TRUE,"Warrington";#N/A,#N/A,TRUE,"Widnes"}</definedName>
    <definedName name="rrttt" hidden="1">{#N/A,#N/A,TRUE,"Cover";#N/A,#N/A,TRUE,"Conts";#N/A,#N/A,TRUE,"VOS";#N/A,#N/A,TRUE,"Warrington";#N/A,#N/A,TRUE,"Widnes"}</definedName>
    <definedName name="rst" localSheetId="2" hidden="1">#REF!</definedName>
    <definedName name="rst" hidden="1">#REF!</definedName>
    <definedName name="rsu" localSheetId="2" hidden="1">#REF!</definedName>
    <definedName name="rsu" hidden="1">#REF!</definedName>
    <definedName name="rt" localSheetId="2" hidden="1">{#N/A,#N/A,TRUE,"Cover";#N/A,#N/A,TRUE,"Conts";#N/A,#N/A,TRUE,"VOS";#N/A,#N/A,TRUE,"Warrington";#N/A,#N/A,TRUE,"Widnes"}</definedName>
    <definedName name="rt" hidden="1">{#N/A,#N/A,TRUE,"Cover";#N/A,#N/A,TRUE,"Conts";#N/A,#N/A,TRUE,"VOS";#N/A,#N/A,TRUE,"Warrington";#N/A,#N/A,TRUE,"Widnes"}</definedName>
    <definedName name="rthsrhs" localSheetId="2" hidden="1">{#N/A,#N/A,TRUE,"Cover";#N/A,#N/A,TRUE,"Conts";#N/A,#N/A,TRUE,"VOS";#N/A,#N/A,TRUE,"Warrington";#N/A,#N/A,TRUE,"Widnes"}</definedName>
    <definedName name="rthsrhs" hidden="1">{#N/A,#N/A,TRUE,"Cover";#N/A,#N/A,TRUE,"Conts";#N/A,#N/A,TRUE,"VOS";#N/A,#N/A,TRUE,"Warrington";#N/A,#N/A,TRUE,"Widnes"}</definedName>
    <definedName name="rtp" localSheetId="2" hidden="1">{"'Break down'!$A$4"}</definedName>
    <definedName name="rtp" hidden="1">{"'Break down'!$A$4"}</definedName>
    <definedName name="rtpqwp" localSheetId="2" hidden="1">{"'Break down'!$A$4"}</definedName>
    <definedName name="rtpqwp" hidden="1">{"'Break down'!$A$4"}</definedName>
    <definedName name="RTRGJHJ" localSheetId="2" hidden="1">{#N/A,#N/A,TRUE,"Cover";#N/A,#N/A,TRUE,"Conts";#N/A,#N/A,TRUE,"VOS";#N/A,#N/A,TRUE,"Warrington";#N/A,#N/A,TRUE,"Widnes"}</definedName>
    <definedName name="RTRGJHJ" hidden="1">{#N/A,#N/A,TRUE,"Cover";#N/A,#N/A,TRUE,"Conts";#N/A,#N/A,TRUE,"VOS";#N/A,#N/A,TRUE,"Warrington";#N/A,#N/A,TRUE,"Widnes"}</definedName>
    <definedName name="rtryj" localSheetId="2" hidden="1">{#N/A,#N/A,TRUE,"Cover";#N/A,#N/A,TRUE,"Conts";#N/A,#N/A,TRUE,"VOS";#N/A,#N/A,TRUE,"Warrington";#N/A,#N/A,TRUE,"Widnes"}</definedName>
    <definedName name="rtryj" hidden="1">{#N/A,#N/A,TRUE,"Cover";#N/A,#N/A,TRUE,"Conts";#N/A,#N/A,TRUE,"VOS";#N/A,#N/A,TRUE,"Warrington";#N/A,#N/A,TRUE,"Widnes"}</definedName>
    <definedName name="rttgssg" localSheetId="2" hidden="1">{#N/A,#N/A,TRUE,"Front";#N/A,#N/A,TRUE,"Simple Letter";#N/A,#N/A,TRUE,"Inside";#N/A,#N/A,TRUE,"Contents";#N/A,#N/A,TRUE,"Basis";#N/A,#N/A,TRUE,"Inclusions";#N/A,#N/A,TRUE,"Exclusions";#N/A,#N/A,TRUE,"Areas";#N/A,#N/A,TRUE,"Summary";#N/A,#N/A,TRUE,"Detail"}</definedName>
    <definedName name="rttgssg" hidden="1">{#N/A,#N/A,TRUE,"Front";#N/A,#N/A,TRUE,"Simple Letter";#N/A,#N/A,TRUE,"Inside";#N/A,#N/A,TRUE,"Contents";#N/A,#N/A,TRUE,"Basis";#N/A,#N/A,TRUE,"Inclusions";#N/A,#N/A,TRUE,"Exclusions";#N/A,#N/A,TRUE,"Areas";#N/A,#N/A,TRUE,"Summary";#N/A,#N/A,TRUE,"Detail"}</definedName>
    <definedName name="rtu" localSheetId="2" hidden="1">{#N/A,#N/A,TRUE,"RESUMEN ECON.";#N/A,#N/A,TRUE,"Costos de R.H.";#N/A,#N/A,TRUE,"COSTO HW";#N/A,#N/A,TRUE,"CUADROS";#N/A,#N/A,TRUE,"SCADA´s";#N/A,#N/A,TRUE,"PRECIOS EQUIPOS"}</definedName>
    <definedName name="rtu" hidden="1">{#N/A,#N/A,TRUE,"RESUMEN ECON.";#N/A,#N/A,TRUE,"Costos de R.H.";#N/A,#N/A,TRUE,"COSTO HW";#N/A,#N/A,TRUE,"CUADROS";#N/A,#N/A,TRUE,"SCADA´s";#N/A,#N/A,TRUE,"PRECIOS EQUIPOS"}</definedName>
    <definedName name="rturudu" localSheetId="2" hidden="1">{#N/A,#N/A,TRUE,"Cover";#N/A,#N/A,TRUE,"Conts";#N/A,#N/A,TRUE,"VOS";#N/A,#N/A,TRUE,"Warrington";#N/A,#N/A,TRUE,"Widnes"}</definedName>
    <definedName name="rturudu" hidden="1">{#N/A,#N/A,TRUE,"Cover";#N/A,#N/A,TRUE,"Conts";#N/A,#N/A,TRUE,"VOS";#N/A,#N/A,TRUE,"Warrington";#N/A,#N/A,TRUE,"Widnes"}</definedName>
    <definedName name="rtysh" localSheetId="2" hidden="1">{#N/A,#N/A,TRUE,"Cover";#N/A,#N/A,TRUE,"Conts";#N/A,#N/A,TRUE,"VOS";#N/A,#N/A,TRUE,"Warrington";#N/A,#N/A,TRUE,"Widnes"}</definedName>
    <definedName name="rtysh" hidden="1">{#N/A,#N/A,TRUE,"Cover";#N/A,#N/A,TRUE,"Conts";#N/A,#N/A,TRUE,"VOS";#N/A,#N/A,TRUE,"Warrington";#N/A,#N/A,TRUE,"Widnes"}</definedName>
    <definedName name="rule" localSheetId="2" hidden="1">#REF!</definedName>
    <definedName name="rule" hidden="1">#REF!</definedName>
    <definedName name="rweggrgr" hidden="1">#REF!</definedName>
    <definedName name="RWF" localSheetId="2" hidden="1">{"'Sheet1'!$A$4386:$N$4591"}</definedName>
    <definedName name="RWF" hidden="1">{"'Sheet1'!$A$4386:$N$4591"}</definedName>
    <definedName name="rwt" localSheetId="2" hidden="1">{#N/A,#N/A,TRUE,"Cover";#N/A,#N/A,TRUE,"Conts";#N/A,#N/A,TRUE,"VOS";#N/A,#N/A,TRUE,"Warrington";#N/A,#N/A,TRUE,"Widnes"}</definedName>
    <definedName name="rwt" hidden="1">{#N/A,#N/A,TRUE,"Cover";#N/A,#N/A,TRUE,"Conts";#N/A,#N/A,TRUE,"VOS";#N/A,#N/A,TRUE,"Warrington";#N/A,#N/A,TRUE,"Widnes"}</definedName>
    <definedName name="ryad" localSheetId="2" hidden="1">{"'VO'!$P$64:$S$69"}</definedName>
    <definedName name="ryad" hidden="1">{"'VO'!$P$64:$S$69"}</definedName>
    <definedName name="rye" hidden="1">#REF!</definedName>
    <definedName name="ryeru" localSheetId="2" hidden="1">{#N/A,#N/A,TRUE,"Cover";#N/A,#N/A,TRUE,"Conts";#N/A,#N/A,TRUE,"VOS";#N/A,#N/A,TRUE,"Warrington";#N/A,#N/A,TRUE,"Widnes"}</definedName>
    <definedName name="ryeru" hidden="1">{#N/A,#N/A,TRUE,"Cover";#N/A,#N/A,TRUE,"Conts";#N/A,#N/A,TRUE,"VOS";#N/A,#N/A,TRUE,"Warrington";#N/A,#N/A,TRUE,"Widnes"}</definedName>
    <definedName name="ryjujkg" localSheetId="2" hidden="1">{"'Break down'!$A$4"}</definedName>
    <definedName name="ryjujkg" hidden="1">{"'Break down'!$A$4"}</definedName>
    <definedName name="rysrtryftry" localSheetId="2" hidden="1">{#N/A,#N/A,TRUE,"Cover";#N/A,#N/A,TRUE,"Conts";#N/A,#N/A,TRUE,"VOS";#N/A,#N/A,TRUE,"Warrington";#N/A,#N/A,TRUE,"Widnes"}</definedName>
    <definedName name="rysrtryftry" hidden="1">{#N/A,#N/A,TRUE,"Cover";#N/A,#N/A,TRUE,"Conts";#N/A,#N/A,TRUE,"VOS";#N/A,#N/A,TRUE,"Warrington";#N/A,#N/A,TRUE,"Widnes"}</definedName>
    <definedName name="S" hidden="1">{#N/A,#N/A,TRUE,"Cover";#N/A,#N/A,TRUE,"Conts";#N/A,#N/A,TRUE,"VOS";#N/A,#N/A,TRUE,"Warrington";#N/A,#N/A,TRUE,"Widnes"}</definedName>
    <definedName name="sad" localSheetId="2" hidden="1">{#N/A,#N/A,FALSE,"SumD";#N/A,#N/A,FALSE,"ElecD";#N/A,#N/A,FALSE,"MechD";#N/A,#N/A,FALSE,"GeotD";#N/A,#N/A,FALSE,"PrcsD";#N/A,#N/A,FALSE,"TunnD";#N/A,#N/A,FALSE,"CivlD";#N/A,#N/A,FALSE,"NtwkD";#N/A,#N/A,FALSE,"EstgD";#N/A,#N/A,FALSE,"PEngD"}</definedName>
    <definedName name="sad" hidden="1">{#N/A,#N/A,FALSE,"SumD";#N/A,#N/A,FALSE,"ElecD";#N/A,#N/A,FALSE,"MechD";#N/A,#N/A,FALSE,"GeotD";#N/A,#N/A,FALSE,"PrcsD";#N/A,#N/A,FALSE,"TunnD";#N/A,#N/A,FALSE,"CivlD";#N/A,#N/A,FALSE,"NtwkD";#N/A,#N/A,FALSE,"EstgD";#N/A,#N/A,FALSE,"PEngD"}</definedName>
    <definedName name="sadfdasf" hidden="1">#REF!</definedName>
    <definedName name="sadg" localSheetId="2" hidden="1">{"cost",#N/A,FALSE,"B";"Sum",#N/A,FALSE,"C";"Sal1",#N/A,FALSE,"D";"Sal2",#N/A,FALSE,"D";"Mob",#N/A,FALSE,"E";"Eqpcst1",#N/A,FALSE,"F";"Eqpcst2",#N/A,FALSE,"F";"Eqpcst3",#N/A,FALSE,"F";"Est1",#N/A,FALSE,"G";"Est2",#N/A,FALSE,"G";"Fin",#N/A,FALSE,"H";"EqpCal",#N/A,FALSE,"I";"ManCal1",#N/A,FALSE,"J";"ManCal2",#N/A,FALSE,"J";"Consm",#N/A,FALSE,"L";"B O",#N/A,FALSE,"M";"S C",#N/A,FALSE,"N"}</definedName>
    <definedName name="sadg" hidden="1">{"cost",#N/A,FALSE,"B";"Sum",#N/A,FALSE,"C";"Sal1",#N/A,FALSE,"D";"Sal2",#N/A,FALSE,"D";"Mob",#N/A,FALSE,"E";"Eqpcst1",#N/A,FALSE,"F";"Eqpcst2",#N/A,FALSE,"F";"Eqpcst3",#N/A,FALSE,"F";"Est1",#N/A,FALSE,"G";"Est2",#N/A,FALSE,"G";"Fin",#N/A,FALSE,"H";"EqpCal",#N/A,FALSE,"I";"ManCal1",#N/A,FALSE,"J";"ManCal2",#N/A,FALSE,"J";"Consm",#N/A,FALSE,"L";"B O",#N/A,FALSE,"M";"S C",#N/A,FALSE,"N"}</definedName>
    <definedName name="sam" localSheetId="2" hidden="1">{"'Break down'!$A$4"}</definedName>
    <definedName name="sam" hidden="1">{"'Break down'!$A$4"}</definedName>
    <definedName name="sasf" localSheetId="2" hidden="1">{#N/A,#N/A,TRUE,"Summary";#N/A,#N/A,TRUE,"Overall";#N/A,#N/A,TRUE,"engineering";#N/A,#N/A,TRUE,"Procurement";#N/A,#N/A,TRUE,"Construction"}</definedName>
    <definedName name="sasf" hidden="1">{#N/A,#N/A,TRUE,"Summary";#N/A,#N/A,TRUE,"Overall";#N/A,#N/A,TRUE,"engineering";#N/A,#N/A,TRUE,"Procurement";#N/A,#N/A,TRUE,"Construction"}</definedName>
    <definedName name="SBR" hidden="1">#REF!</definedName>
    <definedName name="SCAF" localSheetId="2" hidden="1">{"'Break down'!$A$4"}</definedName>
    <definedName name="SCAF" hidden="1">{"'Break down'!$A$4"}</definedName>
    <definedName name="Scaffolding" localSheetId="2" hidden="1">{"'Break down'!$A$4"}</definedName>
    <definedName name="Scaffolding" hidden="1">{"'Break down'!$A$4"}</definedName>
    <definedName name="scarce" localSheetId="2"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CREED" localSheetId="2" hidden="1">{#N/A,#N/A,TRUE,"Front";#N/A,#N/A,TRUE,"Simple Letter";#N/A,#N/A,TRUE,"Inside";#N/A,#N/A,TRUE,"Contents";#N/A,#N/A,TRUE,"Basis";#N/A,#N/A,TRUE,"Inclusions";#N/A,#N/A,TRUE,"Exclusions";#N/A,#N/A,TRUE,"Areas";#N/A,#N/A,TRUE,"Summary";#N/A,#N/A,TRUE,"Detail"}</definedName>
    <definedName name="SCREED" hidden="1">{#N/A,#N/A,TRUE,"Front";#N/A,#N/A,TRUE,"Simple Letter";#N/A,#N/A,TRUE,"Inside";#N/A,#N/A,TRUE,"Contents";#N/A,#N/A,TRUE,"Basis";#N/A,#N/A,TRUE,"Inclusions";#N/A,#N/A,TRUE,"Exclusions";#N/A,#N/A,TRUE,"Areas";#N/A,#N/A,TRUE,"Summary";#N/A,#N/A,TRUE,"Detail"}</definedName>
    <definedName name="SCURVE" localSheetId="2" hidden="1">#REF!</definedName>
    <definedName name="SCURVE" hidden="1">#REF!</definedName>
    <definedName name="scx" localSheetId="2" hidden="1">{"'Break down'!$A$4"}</definedName>
    <definedName name="scx" hidden="1">{"'Break down'!$A$4"}</definedName>
    <definedName name="sd" localSheetId="2" hidden="1">{#N/A,#N/A,FALSE,"SumG";#N/A,#N/A,FALSE,"ElecG";#N/A,#N/A,FALSE,"MechG";#N/A,#N/A,FALSE,"GeotG";#N/A,#N/A,FALSE,"PrcsG";#N/A,#N/A,FALSE,"TunnG";#N/A,#N/A,FALSE,"CivlG";#N/A,#N/A,FALSE,"NtwkG";#N/A,#N/A,FALSE,"EstgG";#N/A,#N/A,FALSE,"PEngG"}</definedName>
    <definedName name="sd" hidden="1">{#N/A,#N/A,FALSE,"SumG";#N/A,#N/A,FALSE,"ElecG";#N/A,#N/A,FALSE,"MechG";#N/A,#N/A,FALSE,"GeotG";#N/A,#N/A,FALSE,"PrcsG";#N/A,#N/A,FALSE,"TunnG";#N/A,#N/A,FALSE,"CivlG";#N/A,#N/A,FALSE,"NtwkG";#N/A,#N/A,FALSE,"EstgG";#N/A,#N/A,FALSE,"PEngG"}</definedName>
    <definedName name="sda" localSheetId="2" hidden="1">#REF!</definedName>
    <definedName name="sda" hidden="1">#REF!</definedName>
    <definedName name="SDD" localSheetId="2" hidden="1">{#N/A,#N/A,TRUE,"Front";#N/A,#N/A,TRUE,"Simple Letter";#N/A,#N/A,TRUE,"Inside";#N/A,#N/A,TRUE,"Contents";#N/A,#N/A,TRUE,"Basis";#N/A,#N/A,TRUE,"Inclusions";#N/A,#N/A,TRUE,"Exclusions";#N/A,#N/A,TRUE,"Areas";#N/A,#N/A,TRUE,"Summary";#N/A,#N/A,TRUE,"Detail"}</definedName>
    <definedName name="SDD" hidden="1">{#N/A,#N/A,TRUE,"Front";#N/A,#N/A,TRUE,"Simple Letter";#N/A,#N/A,TRUE,"Inside";#N/A,#N/A,TRUE,"Contents";#N/A,#N/A,TRUE,"Basis";#N/A,#N/A,TRUE,"Inclusions";#N/A,#N/A,TRUE,"Exclusions";#N/A,#N/A,TRUE,"Areas";#N/A,#N/A,TRUE,"Summary";#N/A,#N/A,TRUE,"Detail"}</definedName>
    <definedName name="sdefegdeg" localSheetId="2" hidden="1">{#N/A,#N/A,TRUE,"Cover";#N/A,#N/A,TRUE,"Conts";#N/A,#N/A,TRUE,"VOS";#N/A,#N/A,TRUE,"Warrington";#N/A,#N/A,TRUE,"Widnes"}</definedName>
    <definedName name="sdefegdeg" hidden="1">{#N/A,#N/A,TRUE,"Cover";#N/A,#N/A,TRUE,"Conts";#N/A,#N/A,TRUE,"VOS";#N/A,#N/A,TRUE,"Warrington";#N/A,#N/A,TRUE,"Widnes"}</definedName>
    <definedName name="sdf" localSheetId="2" hidden="1">{#N/A,#N/A,TRUE,"Cover";#N/A,#N/A,TRUE,"Conts";#N/A,#N/A,TRUE,"VOS";#N/A,#N/A,TRUE,"Warrington";#N/A,#N/A,TRUE,"Widnes"}</definedName>
    <definedName name="sdf" hidden="1">{#N/A,#N/A,TRUE,"Cover";#N/A,#N/A,TRUE,"Conts";#N/A,#N/A,TRUE,"VOS";#N/A,#N/A,TRUE,"Warrington";#N/A,#N/A,TRUE,"Widnes"}</definedName>
    <definedName name="sdfghsdfhsdk" localSheetId="2" hidden="1">#REF!</definedName>
    <definedName name="sdfghsdfhsdk" hidden="1">#REF!</definedName>
    <definedName name="SDFODF" localSheetId="2" hidden="1">{#N/A,#N/A,TRUE,"Front";#N/A,#N/A,TRUE,"Simple Letter";#N/A,#N/A,TRUE,"Inside";#N/A,#N/A,TRUE,"Contents";#N/A,#N/A,TRUE,"Basis";#N/A,#N/A,TRUE,"Inclusions";#N/A,#N/A,TRUE,"Exclusions";#N/A,#N/A,TRUE,"Areas";#N/A,#N/A,TRUE,"Summary";#N/A,#N/A,TRUE,"Detail"}</definedName>
    <definedName name="SDFODF" hidden="1">{#N/A,#N/A,TRUE,"Front";#N/A,#N/A,TRUE,"Simple Letter";#N/A,#N/A,TRUE,"Inside";#N/A,#N/A,TRUE,"Contents";#N/A,#N/A,TRUE,"Basis";#N/A,#N/A,TRUE,"Inclusions";#N/A,#N/A,TRUE,"Exclusions";#N/A,#N/A,TRUE,"Areas";#N/A,#N/A,TRUE,"Summary";#N/A,#N/A,TRUE,"Detail"}</definedName>
    <definedName name="sdgdf" localSheetId="2" hidden="1">{#N/A,#N/A,FALSE,"估價單  (3)"}</definedName>
    <definedName name="sdgdf" hidden="1">{#N/A,#N/A,FALSE,"估價單  (3)"}</definedName>
    <definedName name="sdgsg" localSheetId="2" hidden="1">{#N/A,#N/A,TRUE,"Front";#N/A,#N/A,TRUE,"Simple Letter";#N/A,#N/A,TRUE,"Inside";#N/A,#N/A,TRUE,"Contents";#N/A,#N/A,TRUE,"Basis";#N/A,#N/A,TRUE,"Inclusions";#N/A,#N/A,TRUE,"Exclusions";#N/A,#N/A,TRUE,"Areas";#N/A,#N/A,TRUE,"Summary";#N/A,#N/A,TRUE,"Detail"}</definedName>
    <definedName name="sdgsg" hidden="1">{#N/A,#N/A,TRUE,"Front";#N/A,#N/A,TRUE,"Simple Letter";#N/A,#N/A,TRUE,"Inside";#N/A,#N/A,TRUE,"Contents";#N/A,#N/A,TRUE,"Basis";#N/A,#N/A,TRUE,"Inclusions";#N/A,#N/A,TRUE,"Exclusions";#N/A,#N/A,TRUE,"Areas";#N/A,#N/A,TRUE,"Summary";#N/A,#N/A,TRUE,"Detail"}</definedName>
    <definedName name="sdhydfyftuu" localSheetId="2" hidden="1">{#N/A,#N/A,TRUE,"Cover";#N/A,#N/A,TRUE,"Conts";#N/A,#N/A,TRUE,"VOS";#N/A,#N/A,TRUE,"Warrington";#N/A,#N/A,TRUE,"Widnes"}</definedName>
    <definedName name="sdhydfyftuu" hidden="1">{#N/A,#N/A,TRUE,"Cover";#N/A,#N/A,TRUE,"Conts";#N/A,#N/A,TRUE,"VOS";#N/A,#N/A,TRUE,"Warrington";#N/A,#N/A,TRUE,"Widnes"}</definedName>
    <definedName name="sdsa" localSheetId="2" hidden="1">{#N/A,#N/A,TRUE,"Front";#N/A,#N/A,TRUE,"Simple Letter";#N/A,#N/A,TRUE,"Inside";#N/A,#N/A,TRUE,"Contents";#N/A,#N/A,TRUE,"Basis";#N/A,#N/A,TRUE,"Inclusions";#N/A,#N/A,TRUE,"Exclusions";#N/A,#N/A,TRUE,"Areas";#N/A,#N/A,TRUE,"Summary";#N/A,#N/A,TRUE,"Detail"}</definedName>
    <definedName name="sdsa" hidden="1">{#N/A,#N/A,TRUE,"Front";#N/A,#N/A,TRUE,"Simple Letter";#N/A,#N/A,TRUE,"Inside";#N/A,#N/A,TRUE,"Contents";#N/A,#N/A,TRUE,"Basis";#N/A,#N/A,TRUE,"Inclusions";#N/A,#N/A,TRUE,"Exclusions";#N/A,#N/A,TRUE,"Areas";#N/A,#N/A,TRUE,"Summary";#N/A,#N/A,TRUE,"Detail"}</definedName>
    <definedName name="sencount" hidden="1">1</definedName>
    <definedName name="ser" localSheetId="2" hidden="1">{"'Break down'!$A$4"}</definedName>
    <definedName name="ser" hidden="1">{"'Break down'!$A$4"}</definedName>
    <definedName name="Services2" localSheetId="2"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2" hidden="1">{#N/A,#N/A,TRUE,"Cover";#N/A,#N/A,TRUE,"Conts";#N/A,#N/A,TRUE,"VOS";#N/A,#N/A,TRUE,"Warrington";#N/A,#N/A,TRUE,"Widnes"}</definedName>
    <definedName name="setdydy" hidden="1">{#N/A,#N/A,TRUE,"Cover";#N/A,#N/A,TRUE,"Conts";#N/A,#N/A,TRUE,"VOS";#N/A,#N/A,TRUE,"Warrington";#N/A,#N/A,TRUE,"Widnes"}</definedName>
    <definedName name="sfbjdf" localSheetId="2" hidden="1">#REF!</definedName>
    <definedName name="sfbjdf" hidden="1">#REF!</definedName>
    <definedName name="sffff" localSheetId="2"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2" hidden="1">{#N/A,#N/A,TRUE,"Cover";#N/A,#N/A,TRUE,"Conts";#N/A,#N/A,TRUE,"VOS";#N/A,#N/A,TRUE,"Warrington";#N/A,#N/A,TRUE,"Widnes"}</definedName>
    <definedName name="sfhdfj" hidden="1">{#N/A,#N/A,TRUE,"Cover";#N/A,#N/A,TRUE,"Conts";#N/A,#N/A,TRUE,"VOS";#N/A,#N/A,TRUE,"Warrington";#N/A,#N/A,TRUE,"Widnes"}</definedName>
    <definedName name="sfs" localSheetId="2" hidden="1">{#N/A,#N/A,TRUE,"RESUMEN ECON.";#N/A,#N/A,TRUE,"Costos de R.H.";#N/A,#N/A,TRUE,"COSTO HW";#N/A,#N/A,TRUE,"CUADROS";#N/A,#N/A,TRUE,"SCADA´s";#N/A,#N/A,TRUE,"PRECIOS EQUIPOS"}</definedName>
    <definedName name="sfs" hidden="1">{#N/A,#N/A,TRUE,"RESUMEN ECON.";#N/A,#N/A,TRUE,"Costos de R.H.";#N/A,#N/A,TRUE,"COSTO HW";#N/A,#N/A,TRUE,"CUADROS";#N/A,#N/A,TRUE,"SCADA´s";#N/A,#N/A,TRUE,"PRECIOS EQUIPOS"}</definedName>
    <definedName name="sfssf" localSheetId="2" hidden="1">#REF!</definedName>
    <definedName name="sfssf" hidden="1">#REF!</definedName>
    <definedName name="sgfsd" localSheetId="2" hidden="1">{#N/A,#N/A,TRUE,"Front";#N/A,#N/A,TRUE,"Simple Letter";#N/A,#N/A,TRUE,"Inside";#N/A,#N/A,TRUE,"Contents";#N/A,#N/A,TRUE,"Basis";#N/A,#N/A,TRUE,"Inclusions";#N/A,#N/A,TRUE,"Exclusions";#N/A,#N/A,TRUE,"Areas";#N/A,#N/A,TRUE,"Summary";#N/A,#N/A,TRUE,"Detail"}</definedName>
    <definedName name="sgfsd" hidden="1">{#N/A,#N/A,TRUE,"Front";#N/A,#N/A,TRUE,"Simple Letter";#N/A,#N/A,TRUE,"Inside";#N/A,#N/A,TRUE,"Contents";#N/A,#N/A,TRUE,"Basis";#N/A,#N/A,TRUE,"Inclusions";#N/A,#N/A,TRUE,"Exclusions";#N/A,#N/A,TRUE,"Areas";#N/A,#N/A,TRUE,"Summary";#N/A,#N/A,TRUE,"Detail"}</definedName>
    <definedName name="sgs" localSheetId="2" hidden="1">{#N/A,#N/A,TRUE,"Front";#N/A,#N/A,TRUE,"Simple Letter";#N/A,#N/A,TRUE,"Inside";#N/A,#N/A,TRUE,"Contents";#N/A,#N/A,TRUE,"Basis";#N/A,#N/A,TRUE,"Inclusions";#N/A,#N/A,TRUE,"Exclusions";#N/A,#N/A,TRUE,"Areas";#N/A,#N/A,TRUE,"Summary";#N/A,#N/A,TRUE,"Detail"}</definedName>
    <definedName name="sgs" hidden="1">{#N/A,#N/A,TRUE,"Front";#N/A,#N/A,TRUE,"Simple Letter";#N/A,#N/A,TRUE,"Inside";#N/A,#N/A,TRUE,"Contents";#N/A,#N/A,TRUE,"Basis";#N/A,#N/A,TRUE,"Inclusions";#N/A,#N/A,TRUE,"Exclusions";#N/A,#N/A,TRUE,"Areas";#N/A,#N/A,TRUE,"Summary";#N/A,#N/A,TRUE,"Detail"}</definedName>
    <definedName name="sgsdg" localSheetId="2" hidden="1">{#N/A,#N/A,TRUE,"Front";#N/A,#N/A,TRUE,"Simple Letter";#N/A,#N/A,TRUE,"Inside";#N/A,#N/A,TRUE,"Contents";#N/A,#N/A,TRUE,"Basis";#N/A,#N/A,TRUE,"Inclusions";#N/A,#N/A,TRUE,"Exclusions";#N/A,#N/A,TRUE,"Areas";#N/A,#N/A,TRUE,"Summary";#N/A,#N/A,TRUE,"Detail"}</definedName>
    <definedName name="sgsdg" hidden="1">{#N/A,#N/A,TRUE,"Front";#N/A,#N/A,TRUE,"Simple Letter";#N/A,#N/A,TRUE,"Inside";#N/A,#N/A,TRUE,"Contents";#N/A,#N/A,TRUE,"Basis";#N/A,#N/A,TRUE,"Inclusions";#N/A,#N/A,TRUE,"Exclusions";#N/A,#N/A,TRUE,"Areas";#N/A,#N/A,TRUE,"Summary";#N/A,#N/A,TRUE,"Detail"}</definedName>
    <definedName name="sgsegegrt" localSheetId="2" hidden="1">{#N/A,#N/A,TRUE,"Cover";#N/A,#N/A,TRUE,"Conts";#N/A,#N/A,TRUE,"VOS";#N/A,#N/A,TRUE,"Warrington";#N/A,#N/A,TRUE,"Widnes"}</definedName>
    <definedName name="sgsegegrt" hidden="1">{#N/A,#N/A,TRUE,"Cover";#N/A,#N/A,TRUE,"Conts";#N/A,#N/A,TRUE,"VOS";#N/A,#N/A,TRUE,"Warrington";#N/A,#N/A,TRUE,"Widnes"}</definedName>
    <definedName name="sgsg" localSheetId="2" hidden="1">{#N/A,#N/A,TRUE,"Front";#N/A,#N/A,TRUE,"Simple Letter";#N/A,#N/A,TRUE,"Inside";#N/A,#N/A,TRUE,"Contents";#N/A,#N/A,TRUE,"Basis";#N/A,#N/A,TRUE,"Inclusions";#N/A,#N/A,TRUE,"Exclusions";#N/A,#N/A,TRUE,"Areas";#N/A,#N/A,TRUE,"Summary";#N/A,#N/A,TRUE,"Detail"}</definedName>
    <definedName name="sgsg" hidden="1">{#N/A,#N/A,TRUE,"Front";#N/A,#N/A,TRUE,"Simple Letter";#N/A,#N/A,TRUE,"Inside";#N/A,#N/A,TRUE,"Contents";#N/A,#N/A,TRUE,"Basis";#N/A,#N/A,TRUE,"Inclusions";#N/A,#N/A,TRUE,"Exclusions";#N/A,#N/A,TRUE,"Areas";#N/A,#N/A,TRUE,"Summary";#N/A,#N/A,TRUE,"Detail"}</definedName>
    <definedName name="sgsghju" localSheetId="2" hidden="1">{#N/A,#N/A,TRUE,"Cover";#N/A,#N/A,TRUE,"Conts";#N/A,#N/A,TRUE,"VOS";#N/A,#N/A,TRUE,"Warrington";#N/A,#N/A,TRUE,"Widnes"}</definedName>
    <definedName name="sgsghju" hidden="1">{#N/A,#N/A,TRUE,"Cover";#N/A,#N/A,TRUE,"Conts";#N/A,#N/A,TRUE,"VOS";#N/A,#N/A,TRUE,"Warrington";#N/A,#N/A,TRUE,"Widnes"}</definedName>
    <definedName name="sgsgr" localSheetId="2" hidden="1">{#N/A,#N/A,TRUE,"Cover";#N/A,#N/A,TRUE,"Conts";#N/A,#N/A,TRUE,"VOS";#N/A,#N/A,TRUE,"Warrington";#N/A,#N/A,TRUE,"Widnes"}</definedName>
    <definedName name="sgsgr" hidden="1">{#N/A,#N/A,TRUE,"Cover";#N/A,#N/A,TRUE,"Conts";#N/A,#N/A,TRUE,"VOS";#N/A,#N/A,TRUE,"Warrington";#N/A,#N/A,TRUE,"Widnes"}</definedName>
    <definedName name="sh" localSheetId="2" hidden="1">{"'Bill No. 7'!$A$1:$G$32"}</definedName>
    <definedName name="sh" hidden="1">{"'Bill No. 7'!$A$1:$G$32"}</definedName>
    <definedName name="shajee" localSheetId="2" hidden="1">#REF!</definedName>
    <definedName name="shajee" hidden="1">#REF!</definedName>
    <definedName name="sheet" localSheetId="2" hidden="1">{#N/A,#N/A,TRUE,"Cover";#N/A,#N/A,TRUE,"Conts";#N/A,#N/A,TRUE,"VOS";#N/A,#N/A,TRUE,"Warrington";#N/A,#N/A,TRUE,"Widnes"}</definedName>
    <definedName name="sheet" hidden="1">{#N/A,#N/A,TRUE,"Cover";#N/A,#N/A,TRUE,"Conts";#N/A,#N/A,TRUE,"VOS";#N/A,#N/A,TRUE,"Warrington";#N/A,#N/A,TRUE,"Widnes"}</definedName>
    <definedName name="sheet1" localSheetId="2" hidden="1">{#N/A,#N/A,FALSE,"SumD";#N/A,#N/A,FALSE,"ElecD";#N/A,#N/A,FALSE,"MechD";#N/A,#N/A,FALSE,"GeotD";#N/A,#N/A,FALSE,"PrcsD";#N/A,#N/A,FALSE,"TunnD";#N/A,#N/A,FALSE,"CivlD";#N/A,#N/A,FALSE,"NtwkD";#N/A,#N/A,FALSE,"EstgD";#N/A,#N/A,FALSE,"PEngD"}</definedName>
    <definedName name="sheet1" hidden="1">{#N/A,#N/A,FALSE,"SumD";#N/A,#N/A,FALSE,"ElecD";#N/A,#N/A,FALSE,"MechD";#N/A,#N/A,FALSE,"GeotD";#N/A,#N/A,FALSE,"PrcsD";#N/A,#N/A,FALSE,"TunnD";#N/A,#N/A,FALSE,"CivlD";#N/A,#N/A,FALSE,"NtwkD";#N/A,#N/A,FALSE,"EstgD";#N/A,#N/A,FALSE,"PEngD"}</definedName>
    <definedName name="Shipping" localSheetId="2"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shgtr" localSheetId="2" hidden="1">{#N/A,#N/A,TRUE,"Cover";#N/A,#N/A,TRUE,"Conts";#N/A,#N/A,TRUE,"VOS";#N/A,#N/A,TRUE,"Warrington";#N/A,#N/A,TRUE,"Widnes"}</definedName>
    <definedName name="shshgtr" hidden="1">{#N/A,#N/A,TRUE,"Cover";#N/A,#N/A,TRUE,"Conts";#N/A,#N/A,TRUE,"VOS";#N/A,#N/A,TRUE,"Warrington";#N/A,#N/A,TRUE,"Widnes"}</definedName>
    <definedName name="shutt" localSheetId="2" hidden="1">#REF!</definedName>
    <definedName name="shutt" hidden="1">#REF!</definedName>
    <definedName name="Simple" localSheetId="2" hidden="1">{#N/A,#N/A,FALSE,"RESUMEN ECON.";#N/A,#N/A,FALSE,"Costos de R.H.";#N/A,#N/A,FALSE,"COSTO HW";#N/A,#N/A,FALSE,"CUADROS";#N/A,#N/A,FALSE,"SCADA´s";#N/A,#N/A,FALSE,"PRECIOS EQUIPOS"}</definedName>
    <definedName name="Simple" hidden="1">{#N/A,#N/A,FALSE,"RESUMEN ECON.";#N/A,#N/A,FALSE,"Costos de R.H.";#N/A,#N/A,FALSE,"COSTO HW";#N/A,#N/A,FALSE,"CUADROS";#N/A,#N/A,FALSE,"SCADA´s";#N/A,#N/A,FALSE,"PRECIOS EQUIPOS"}</definedName>
    <definedName name="SITE" localSheetId="2" hidden="1">{#N/A,#N/A,TRUE,"Cover";#N/A,#N/A,TRUE,"Conts";#N/A,#N/A,TRUE,"VOS";#N/A,#N/A,TRUE,"Warrington";#N/A,#N/A,TRUE,"Widnes"}</definedName>
    <definedName name="SITE" hidden="1">{#N/A,#N/A,TRUE,"Cover";#N/A,#N/A,TRUE,"Conts";#N/A,#N/A,TRUE,"VOS";#N/A,#N/A,TRUE,"Warrington";#N/A,#N/A,TRUE,"Widnes"}</definedName>
    <definedName name="Slicer_Status">#N/A</definedName>
    <definedName name="sma" localSheetId="2" hidden="1">{"'Break down'!$A$4"}</definedName>
    <definedName name="sma" hidden="1">{"'Break down'!$A$4"}</definedName>
    <definedName name="smo" localSheetId="2" hidden="1">{"'Break down'!$A$4"}</definedName>
    <definedName name="smo" hidden="1">{"'Break down'!$A$4"}</definedName>
    <definedName name="soasia" hidden="1">#REF!</definedName>
    <definedName name="SOC" localSheetId="2" hidden="1">{"'Sheet1 (2)'!$A$1:$C$61"}</definedName>
    <definedName name="SOC" hidden="1">{"'Sheet1 (2)'!$A$1:$C$61"}</definedName>
    <definedName name="solver_adj" hidden="1">#REF!,#REF!</definedName>
    <definedName name="solver_corr" hidden="1">1</definedName>
    <definedName name="solver_ctp1" hidden="1">0</definedName>
    <definedName name="solver_ctp2" hidden="1">0</definedName>
    <definedName name="solver_cvg" hidden="1">0.001</definedName>
    <definedName name="solver_disp" hidden="1">0</definedName>
    <definedName name="solver_drv" hidden="1">1</definedName>
    <definedName name="solver_eng" localSheetId="2" hidden="1">1</definedName>
    <definedName name="solver_est" hidden="1">1</definedName>
    <definedName name="solver_eval" hidden="1">0</definedName>
    <definedName name="solver_itr" hidden="1">100</definedName>
    <definedName name="solver_lcens" hidden="1">-1E+30</definedName>
    <definedName name="solver_lcut" hidden="1">-1E+30</definedName>
    <definedName name="solver_lin" hidden="1">2</definedName>
    <definedName name="solver_neg" localSheetId="2" hidden="1">1</definedName>
    <definedName name="solver_neg" hidden="1">2</definedName>
    <definedName name="solver_nsim" hidden="1">1</definedName>
    <definedName name="solver_ntri" hidden="1">1000</definedName>
    <definedName name="solver_num" localSheetId="2" hidden="1">0</definedName>
    <definedName name="solver_num" hidden="1">0</definedName>
    <definedName name="solver_nwt" hidden="1">1</definedName>
    <definedName name="solver_opt" localSheetId="2" hidden="1">'Payment Register'!$D$33</definedName>
    <definedName name="solver_opt" hidden="1">#REF!</definedName>
    <definedName name="solver_pre" hidden="1">0.000001</definedName>
    <definedName name="solver_rel10" hidden="1">2</definedName>
    <definedName name="solver_rel11" hidden="1">2</definedName>
    <definedName name="solver_rel5" hidden="1">2</definedName>
    <definedName name="solver_rel6" hidden="1">2</definedName>
    <definedName name="solver_rel7" hidden="1">2</definedName>
    <definedName name="solver_rel8" hidden="1">2</definedName>
    <definedName name="solver_rel9" hidden="1">2</definedName>
    <definedName name="solver_rhs10" hidden="1">315430</definedName>
    <definedName name="solver_rhs11" hidden="1">284920</definedName>
    <definedName name="solver_rsmp" hidden="1">2</definedName>
    <definedName name="solver_scl" hidden="1">2</definedName>
    <definedName name="solver_seed" hidden="1">0</definedName>
    <definedName name="solver_sho" hidden="1">2</definedName>
    <definedName name="solver_sthr" hidden="1">0</definedName>
    <definedName name="solver_tim" hidden="1">100</definedName>
    <definedName name="solver_tmp" localSheetId="2" hidden="1">#REF!,#REF!</definedName>
    <definedName name="solver_tmp" hidden="1">#REF!,#REF!</definedName>
    <definedName name="solver_tol" hidden="1">0.05</definedName>
    <definedName name="solver_typ" localSheetId="2" hidden="1">1</definedName>
    <definedName name="solver_typ" hidden="1">1</definedName>
    <definedName name="solver_ucens" hidden="1">1E+30</definedName>
    <definedName name="solver_ucut" hidden="1">1E+30</definedName>
    <definedName name="solver_val" localSheetId="2" hidden="1">0</definedName>
    <definedName name="solver_val" hidden="1">0</definedName>
    <definedName name="solver_ver" localSheetId="2" hidden="1">3</definedName>
    <definedName name="soo" hidden="1">#REF!</definedName>
    <definedName name="spe" localSheetId="2" hidden="1">{"'Break down'!$A$4"}</definedName>
    <definedName name="spe" hidden="1">{"'Break down'!$A$4"}</definedName>
    <definedName name="SpecialPrice" hidden="1">#REF!</definedName>
    <definedName name="spp" localSheetId="2" hidden="1">#REF!</definedName>
    <definedName name="spp" hidden="1">#REF!</definedName>
    <definedName name="srhrh" localSheetId="2" hidden="1">{#N/A,#N/A,TRUE,"Cover";#N/A,#N/A,TRUE,"Conts";#N/A,#N/A,TRUE,"VOS";#N/A,#N/A,TRUE,"Warrington";#N/A,#N/A,TRUE,"Widnes"}</definedName>
    <definedName name="srhrh" hidden="1">{#N/A,#N/A,TRUE,"Cover";#N/A,#N/A,TRUE,"Conts";#N/A,#N/A,TRUE,"VOS";#N/A,#N/A,TRUE,"Warrington";#N/A,#N/A,TRUE,"Widnes"}</definedName>
    <definedName name="srsetrthgfh" localSheetId="2" hidden="1">{#N/A,#N/A,TRUE,"Cover";#N/A,#N/A,TRUE,"Conts";#N/A,#N/A,TRUE,"VOS";#N/A,#N/A,TRUE,"Warrington";#N/A,#N/A,TRUE,"Widnes"}</definedName>
    <definedName name="srsetrthgfh" hidden="1">{#N/A,#N/A,TRUE,"Cover";#N/A,#N/A,TRUE,"Conts";#N/A,#N/A,TRUE,"VOS";#N/A,#N/A,TRUE,"Warrington";#N/A,#N/A,TRUE,"Widnes"}</definedName>
    <definedName name="srsretr" localSheetId="2" hidden="1">{#N/A,#N/A,TRUE,"Cover";#N/A,#N/A,TRUE,"Conts";#N/A,#N/A,TRUE,"VOS";#N/A,#N/A,TRUE,"Warrington";#N/A,#N/A,TRUE,"Widnes"}</definedName>
    <definedName name="srsretr" hidden="1">{#N/A,#N/A,TRUE,"Cover";#N/A,#N/A,TRUE,"Conts";#N/A,#N/A,TRUE,"VOS";#N/A,#N/A,TRUE,"Warrington";#N/A,#N/A,TRUE,"Widnes"}</definedName>
    <definedName name="srtugzsolu" localSheetId="2" hidden="1">{#N/A,#N/A,TRUE,"Cover";#N/A,#N/A,TRUE,"Conts";#N/A,#N/A,TRUE,"VOS";#N/A,#N/A,TRUE,"Warrington";#N/A,#N/A,TRUE,"Widnes"}</definedName>
    <definedName name="srtugzsolu" hidden="1">{#N/A,#N/A,TRUE,"Cover";#N/A,#N/A,TRUE,"Conts";#N/A,#N/A,TRUE,"VOS";#N/A,#N/A,TRUE,"Warrington";#N/A,#N/A,TRUE,"Widnes"}</definedName>
    <definedName name="srty" hidden="1">#REF!</definedName>
    <definedName name="sryeysr" localSheetId="2" hidden="1">{#N/A,#N/A,TRUE,"Cover";#N/A,#N/A,TRUE,"Conts";#N/A,#N/A,TRUE,"VOS";#N/A,#N/A,TRUE,"Warrington";#N/A,#N/A,TRUE,"Widnes"}</definedName>
    <definedName name="sryeysr" hidden="1">{#N/A,#N/A,TRUE,"Cover";#N/A,#N/A,TRUE,"Conts";#N/A,#N/A,TRUE,"VOS";#N/A,#N/A,TRUE,"Warrington";#N/A,#N/A,TRUE,"Widnes"}</definedName>
    <definedName name="ssgt" localSheetId="2" hidden="1">{#N/A,#N/A,TRUE,"Front";#N/A,#N/A,TRUE,"Simple Letter";#N/A,#N/A,TRUE,"Inside";#N/A,#N/A,TRUE,"Contents";#N/A,#N/A,TRUE,"Basis";#N/A,#N/A,TRUE,"Inclusions";#N/A,#N/A,TRUE,"Exclusions";#N/A,#N/A,TRUE,"Areas";#N/A,#N/A,TRUE,"Summary";#N/A,#N/A,TRUE,"Detail"}</definedName>
    <definedName name="ssgt" hidden="1">{#N/A,#N/A,TRUE,"Front";#N/A,#N/A,TRUE,"Simple Letter";#N/A,#N/A,TRUE,"Inside";#N/A,#N/A,TRUE,"Contents";#N/A,#N/A,TRUE,"Basis";#N/A,#N/A,TRUE,"Inclusions";#N/A,#N/A,TRUE,"Exclusions";#N/A,#N/A,TRUE,"Areas";#N/A,#N/A,TRUE,"Summary";#N/A,#N/A,TRUE,"Detail"}</definedName>
    <definedName name="sss" localSheetId="2" hidden="1">{#N/A,#N/A,FALSE,"전력간선"}</definedName>
    <definedName name="sss" hidden="1">{#N/A,#N/A,TRUE,"Cover";#N/A,#N/A,TRUE,"Conts";#N/A,#N/A,TRUE,"VOS";#N/A,#N/A,TRUE,"Warrington";#N/A,#N/A,TRUE,"Widnes"}</definedName>
    <definedName name="ssshhh" localSheetId="2"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 localSheetId="2" hidden="1">{#N/A,#N/A,FALSE,"SumD";#N/A,#N/A,FALSE,"ElecD";#N/A,#N/A,FALSE,"MechD";#N/A,#N/A,FALSE,"GeotD";#N/A,#N/A,FALSE,"PrcsD";#N/A,#N/A,FALSE,"TunnD";#N/A,#N/A,FALSE,"CivlD";#N/A,#N/A,FALSE,"NtwkD";#N/A,#N/A,FALSE,"EstgD";#N/A,#N/A,FALSE,"PEngD"}</definedName>
    <definedName name="ssss" hidden="1">{#N/A,#N/A,FALSE,"SumD";#N/A,#N/A,FALSE,"ElecD";#N/A,#N/A,FALSE,"MechD";#N/A,#N/A,FALSE,"GeotD";#N/A,#N/A,FALSE,"PrcsD";#N/A,#N/A,FALSE,"TunnD";#N/A,#N/A,FALSE,"CivlD";#N/A,#N/A,FALSE,"NtwkD";#N/A,#N/A,FALSE,"EstgD";#N/A,#N/A,FALSE,"PEngD"}</definedName>
    <definedName name="sssss" localSheetId="2" hidden="1">{#N/A,#N/A,FALSE,"SumD";#N/A,#N/A,FALSE,"ElecD";#N/A,#N/A,FALSE,"MechD";#N/A,#N/A,FALSE,"GeotD";#N/A,#N/A,FALSE,"PrcsD";#N/A,#N/A,FALSE,"TunnD";#N/A,#N/A,FALSE,"CivlD";#N/A,#N/A,FALSE,"NtwkD";#N/A,#N/A,FALSE,"EstgD";#N/A,#N/A,FALSE,"PEngD"}</definedName>
    <definedName name="sssss" hidden="1">{#N/A,#N/A,FALSE,"SumD";#N/A,#N/A,FALSE,"ElecD";#N/A,#N/A,FALSE,"MechD";#N/A,#N/A,FALSE,"GeotD";#N/A,#N/A,FALSE,"PrcsD";#N/A,#N/A,FALSE,"TunnD";#N/A,#N/A,FALSE,"CivlD";#N/A,#N/A,FALSE,"NtwkD";#N/A,#N/A,FALSE,"EstgD";#N/A,#N/A,FALSE,"PEngD"}</definedName>
    <definedName name="ssssssss" localSheetId="2" hidden="1">{#N/A,#N/A,FALSE,"SumD";#N/A,#N/A,FALSE,"ElecD";#N/A,#N/A,FALSE,"MechD";#N/A,#N/A,FALSE,"GeotD";#N/A,#N/A,FALSE,"PrcsD";#N/A,#N/A,FALSE,"TunnD";#N/A,#N/A,FALSE,"CivlD";#N/A,#N/A,FALSE,"NtwkD";#N/A,#N/A,FALSE,"EstgD";#N/A,#N/A,FALSE,"PEngD"}</definedName>
    <definedName name="ssssssss" hidden="1">{#N/A,#N/A,FALSE,"SumD";#N/A,#N/A,FALSE,"ElecD";#N/A,#N/A,FALSE,"MechD";#N/A,#N/A,FALSE,"GeotD";#N/A,#N/A,FALSE,"PrcsD";#N/A,#N/A,FALSE,"TunnD";#N/A,#N/A,FALSE,"CivlD";#N/A,#N/A,FALSE,"NtwkD";#N/A,#N/A,FALSE,"EstgD";#N/A,#N/A,FALSE,"PEngD"}</definedName>
    <definedName name="ssssssssssss" localSheetId="2" hidden="1">{#N/A,#N/A,FALSE,"SumD";#N/A,#N/A,FALSE,"ElecD";#N/A,#N/A,FALSE,"MechD";#N/A,#N/A,FALSE,"GeotD";#N/A,#N/A,FALSE,"PrcsD";#N/A,#N/A,FALSE,"TunnD";#N/A,#N/A,FALSE,"CivlD";#N/A,#N/A,FALSE,"NtwkD";#N/A,#N/A,FALSE,"EstgD";#N/A,#N/A,FALSE,"PEngD"}</definedName>
    <definedName name="ssssssssssss" hidden="1">{#N/A,#N/A,FALSE,"SumD";#N/A,#N/A,FALSE,"ElecD";#N/A,#N/A,FALSE,"MechD";#N/A,#N/A,FALSE,"GeotD";#N/A,#N/A,FALSE,"PrcsD";#N/A,#N/A,FALSE,"TunnD";#N/A,#N/A,FALSE,"CivlD";#N/A,#N/A,FALSE,"NtwkD";#N/A,#N/A,FALSE,"EstgD";#N/A,#N/A,FALSE,"PEngD"}</definedName>
    <definedName name="sssssssssssss" localSheetId="2" hidden="1">{#N/A,#N/A,FALSE,"SumG";#N/A,#N/A,FALSE,"ElecG";#N/A,#N/A,FALSE,"MechG";#N/A,#N/A,FALSE,"GeotG";#N/A,#N/A,FALSE,"PrcsG";#N/A,#N/A,FALSE,"TunnG";#N/A,#N/A,FALSE,"CivlG";#N/A,#N/A,FALSE,"NtwkG";#N/A,#N/A,FALSE,"EstgG";#N/A,#N/A,FALSE,"PEngG"}</definedName>
    <definedName name="sssssssssssss" hidden="1">{#N/A,#N/A,FALSE,"SumG";#N/A,#N/A,FALSE,"ElecG";#N/A,#N/A,FALSE,"MechG";#N/A,#N/A,FALSE,"GeotG";#N/A,#N/A,FALSE,"PrcsG";#N/A,#N/A,FALSE,"TunnG";#N/A,#N/A,FALSE,"CivlG";#N/A,#N/A,FALSE,"NtwkG";#N/A,#N/A,FALSE,"EstgG";#N/A,#N/A,FALSE,"PEngG"}</definedName>
    <definedName name="ssssssssssssssssssss" localSheetId="2" hidden="1">{#N/A,#N/A,FALSE,"SumD";#N/A,#N/A,FALSE,"ElecD";#N/A,#N/A,FALSE,"MechD";#N/A,#N/A,FALSE,"GeotD";#N/A,#N/A,FALSE,"PrcsD";#N/A,#N/A,FALSE,"TunnD";#N/A,#N/A,FALSE,"CivlD";#N/A,#N/A,FALSE,"NtwkD";#N/A,#N/A,FALSE,"EstgD";#N/A,#N/A,FALSE,"PEngD"}</definedName>
    <definedName name="ssssssssssssssssssss" hidden="1">{#N/A,#N/A,FALSE,"SumD";#N/A,#N/A,FALSE,"ElecD";#N/A,#N/A,FALSE,"MechD";#N/A,#N/A,FALSE,"GeotD";#N/A,#N/A,FALSE,"PrcsD";#N/A,#N/A,FALSE,"TunnD";#N/A,#N/A,FALSE,"CivlD";#N/A,#N/A,FALSE,"NtwkD";#N/A,#N/A,FALSE,"EstgD";#N/A,#N/A,FALSE,"PEngD"}</definedName>
    <definedName name="SSWEWE" hidden="1">#REF!</definedName>
    <definedName name="structures" localSheetId="2" hidden="1">{#N/A,#N/A,FALSE,"SumD";#N/A,#N/A,FALSE,"ElecD";#N/A,#N/A,FALSE,"MechD";#N/A,#N/A,FALSE,"GeotD";#N/A,#N/A,FALSE,"PrcsD";#N/A,#N/A,FALSE,"TunnD";#N/A,#N/A,FALSE,"CivlD";#N/A,#N/A,FALSE,"NtwkD";#N/A,#N/A,FALSE,"EstgD";#N/A,#N/A,FALSE,"PEngD"}</definedName>
    <definedName name="structures" hidden="1">{#N/A,#N/A,FALSE,"SumD";#N/A,#N/A,FALSE,"ElecD";#N/A,#N/A,FALSE,"MechD";#N/A,#N/A,FALSE,"GeotD";#N/A,#N/A,FALSE,"PrcsD";#N/A,#N/A,FALSE,"TunnD";#N/A,#N/A,FALSE,"CivlD";#N/A,#N/A,FALSE,"NtwkD";#N/A,#N/A,FALSE,"EstgD";#N/A,#N/A,FALSE,"PEngD"}</definedName>
    <definedName name="stryt5u8h87" localSheetId="2" hidden="1">{#N/A,#N/A,TRUE,"Cover";#N/A,#N/A,TRUE,"Conts";#N/A,#N/A,TRUE,"VOS";#N/A,#N/A,TRUE,"Warrington";#N/A,#N/A,TRUE,"Widnes"}</definedName>
    <definedName name="stryt5u8h87" hidden="1">{#N/A,#N/A,TRUE,"Cover";#N/A,#N/A,TRUE,"Conts";#N/A,#N/A,TRUE,"VOS";#N/A,#N/A,TRUE,"Warrington";#N/A,#N/A,TRUE,"Widnes"}</definedName>
    <definedName name="subframe" localSheetId="2" hidden="1">{#N/A,#N/A,FALSE,"certificate";#N/A,#N/A,FALSE,"contract works";#N/A,#N/A,FALSE,"variation";#N/A,#N/A,FALSE,"IP-Summary";#N/A,#N/A,FALSE,"status"}</definedName>
    <definedName name="subframe" hidden="1">{#N/A,#N/A,FALSE,"certificate";#N/A,#N/A,FALSE,"contract works";#N/A,#N/A,FALSE,"variation";#N/A,#N/A,FALSE,"IP-Summary";#N/A,#N/A,FALSE,"status"}</definedName>
    <definedName name="summ1" localSheetId="2" hidden="1">{"'Break down'!$A$4"}</definedName>
    <definedName name="summ1" hidden="1">{"'Break down'!$A$4"}</definedName>
    <definedName name="summariseddiff" localSheetId="2" hidden="1">{"'Break down'!$A$4"}</definedName>
    <definedName name="summariseddiff" hidden="1">{"'Break down'!$A$4"}</definedName>
    <definedName name="sunil"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sunil"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swq" hidden="1">#REF!</definedName>
    <definedName name="swsdfa" localSheetId="2" hidden="1">{#N/A,#N/A,TRUE,"Cover";#N/A,#N/A,TRUE,"Conts";#N/A,#N/A,TRUE,"VOS";#N/A,#N/A,TRUE,"Warrington";#N/A,#N/A,TRUE,"Widnes"}</definedName>
    <definedName name="swsdfa" hidden="1">{#N/A,#N/A,TRUE,"Cover";#N/A,#N/A,TRUE,"Conts";#N/A,#N/A,TRUE,"VOS";#N/A,#N/A,TRUE,"Warrington";#N/A,#N/A,TRUE,"Widnes"}</definedName>
    <definedName name="syu" localSheetId="2" hidden="1">{#N/A,#N/A,TRUE,"Cover";#N/A,#N/A,TRUE,"Conts";#N/A,#N/A,TRUE,"VOS";#N/A,#N/A,TRUE,"Warrington";#N/A,#N/A,TRUE,"Widnes"}</definedName>
    <definedName name="syu" hidden="1">{#N/A,#N/A,TRUE,"Cover";#N/A,#N/A,TRUE,"Conts";#N/A,#N/A,TRUE,"VOS";#N/A,#N/A,TRUE,"Warrington";#N/A,#N/A,TRUE,"Widnes"}</definedName>
    <definedName name="t5454t" localSheetId="2" hidden="1">{#N/A,#N/A,TRUE,"Front";#N/A,#N/A,TRUE,"Simple Letter";#N/A,#N/A,TRUE,"Inside";#N/A,#N/A,TRUE,"Contents";#N/A,#N/A,TRUE,"Basis";#N/A,#N/A,TRUE,"Inclusions";#N/A,#N/A,TRUE,"Exclusions";#N/A,#N/A,TRUE,"Areas";#N/A,#N/A,TRUE,"Summary";#N/A,#N/A,TRUE,"Detail"}</definedName>
    <definedName name="t5454t" hidden="1">{#N/A,#N/A,TRUE,"Front";#N/A,#N/A,TRUE,"Simple Letter";#N/A,#N/A,TRUE,"Inside";#N/A,#N/A,TRUE,"Contents";#N/A,#N/A,TRUE,"Basis";#N/A,#N/A,TRUE,"Inclusions";#N/A,#N/A,TRUE,"Exclusions";#N/A,#N/A,TRUE,"Areas";#N/A,#N/A,TRUE,"Summary";#N/A,#N/A,TRUE,"Detail"}</definedName>
    <definedName name="tbl_ProdInfo" hidden="1">#REF!</definedName>
    <definedName name="TDS" localSheetId="2" hidden="1">{"'Sheet1'!$A$4386:$N$4591"}</definedName>
    <definedName name="TDS" hidden="1">{"'Sheet1'!$A$4386:$N$4591"}</definedName>
    <definedName name="temp" localSheetId="2" hidden="1">{"'Break down'!$A$4"}</definedName>
    <definedName name="temp" hidden="1">{#N/A,#N/A,TRUE,"Front";#N/A,#N/A,TRUE,"Simple Letter";#N/A,#N/A,TRUE,"Inside";#N/A,#N/A,TRUE,"Contents";#N/A,#N/A,TRUE,"Basis";#N/A,#N/A,TRUE,"Inclusions";#N/A,#N/A,TRUE,"Exclusions";#N/A,#N/A,TRUE,"Areas";#N/A,#N/A,TRUE,"Summary";#N/A,#N/A,TRUE,"Detail"}</definedName>
    <definedName name="temp1" localSheetId="2" hidden="1">{"'Break down'!$A$4"}</definedName>
    <definedName name="temp1" hidden="1">{#N/A,#N/A,TRUE,"Front";#N/A,#N/A,TRUE,"Simple Letter";#N/A,#N/A,TRUE,"Inside";#N/A,#N/A,TRUE,"Contents";#N/A,#N/A,TRUE,"Basis";#N/A,#N/A,TRUE,"Inclusions";#N/A,#N/A,TRUE,"Exclusions";#N/A,#N/A,TRUE,"Areas";#N/A,#N/A,TRUE,"Summary";#N/A,#N/A,TRUE,"Detail"}</definedName>
    <definedName name="tempo" localSheetId="2" hidden="1">{"'Break down'!$A$4"}</definedName>
    <definedName name="tempo" hidden="1">{"'Break down'!$A$4"}</definedName>
    <definedName name="temporatff" localSheetId="2" hidden="1">{"'Break down'!$A$4"}</definedName>
    <definedName name="temporatff" hidden="1">{"'Break down'!$A$4"}</definedName>
    <definedName name="test" localSheetId="2"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estt" localSheetId="2" hidden="1">{#N/A,#N/A,TRUE,"Summary";#N/A,#N/A,TRUE,"Overall";#N/A,#N/A,TRUE,"engineering";#N/A,#N/A,TRUE,"Procurement";#N/A,#N/A,TRUE,"Construction"}</definedName>
    <definedName name="testt" hidden="1">{#N/A,#N/A,TRUE,"Summary";#N/A,#N/A,TRUE,"Overall";#N/A,#N/A,TRUE,"engineering";#N/A,#N/A,TRUE,"Procurement";#N/A,#N/A,TRUE,"Construction"}</definedName>
    <definedName name="tetas" localSheetId="2" hidden="1">{#N/A,#N/A,FALSE,"RESUMEN ECON.";#N/A,#N/A,FALSE,"Costos de R.H.";#N/A,#N/A,FALSE,"COSTO HW";#N/A,#N/A,FALSE,"CUADROS";#N/A,#N/A,FALSE,"SCADA´s";#N/A,#N/A,FALSE,"PRECIOS EQUIPOS"}</definedName>
    <definedName name="tetas" hidden="1">{#N/A,#N/A,FALSE,"RESUMEN ECON.";#N/A,#N/A,FALSE,"Costos de R.H.";#N/A,#N/A,FALSE,"COSTO HW";#N/A,#N/A,FALSE,"CUADROS";#N/A,#N/A,FALSE,"SCADA´s";#N/A,#N/A,FALSE,"PRECIOS EQUIPOS"}</definedName>
    <definedName name="TextRefCopyRangeCount" hidden="1">23</definedName>
    <definedName name="tfgf" localSheetId="2" hidden="1">#REF!</definedName>
    <definedName name="tfgf" hidden="1">#REF!</definedName>
    <definedName name="tg" localSheetId="2" hidden="1">{#N/A,#N/A,TRUE,"Front";#N/A,#N/A,TRUE,"Simple Letter";#N/A,#N/A,TRUE,"Inside";#N/A,#N/A,TRUE,"Contents";#N/A,#N/A,TRUE,"Basis";#N/A,#N/A,TRUE,"Inclusions";#N/A,#N/A,TRUE,"Exclusions";#N/A,#N/A,TRUE,"Areas";#N/A,#N/A,TRUE,"Summary";#N/A,#N/A,TRUE,"Detail"}</definedName>
    <definedName name="tg" hidden="1">{#N/A,#N/A,TRUE,"Front";#N/A,#N/A,TRUE,"Simple Letter";#N/A,#N/A,TRUE,"Inside";#N/A,#N/A,TRUE,"Contents";#N/A,#N/A,TRUE,"Basis";#N/A,#N/A,TRUE,"Inclusions";#N/A,#N/A,TRUE,"Exclusions";#N/A,#N/A,TRUE,"Areas";#N/A,#N/A,TRUE,"Summary";#N/A,#N/A,TRUE,"Detail"}</definedName>
    <definedName name="thrt" localSheetId="2" hidden="1">{#N/A,#N/A,TRUE,"Front";#N/A,#N/A,TRUE,"Simple Letter";#N/A,#N/A,TRUE,"Inside";#N/A,#N/A,TRUE,"Contents";#N/A,#N/A,TRUE,"Basis";#N/A,#N/A,TRUE,"Inclusions";#N/A,#N/A,TRUE,"Exclusions";#N/A,#N/A,TRUE,"Areas";#N/A,#N/A,TRUE,"Summary";#N/A,#N/A,TRUE,"Detail"}</definedName>
    <definedName name="thrt" hidden="1">{#N/A,#N/A,TRUE,"Front";#N/A,#N/A,TRUE,"Simple Letter";#N/A,#N/A,TRUE,"Inside";#N/A,#N/A,TRUE,"Contents";#N/A,#N/A,TRUE,"Basis";#N/A,#N/A,TRUE,"Inclusions";#N/A,#N/A,TRUE,"Exclusions";#N/A,#N/A,TRUE,"Areas";#N/A,#N/A,TRUE,"Summary";#N/A,#N/A,TRUE,"Detail"}</definedName>
    <definedName name="thwghrt" localSheetId="2" hidden="1">{#N/A,#N/A,TRUE,"Cover";#N/A,#N/A,TRUE,"Conts";#N/A,#N/A,TRUE,"VOS";#N/A,#N/A,TRUE,"Warrington";#N/A,#N/A,TRUE,"Widnes"}</definedName>
    <definedName name="thwghrt" hidden="1">{#N/A,#N/A,TRUE,"Cover";#N/A,#N/A,TRUE,"Conts";#N/A,#N/A,TRUE,"VOS";#N/A,#N/A,TRUE,"Warrington";#N/A,#N/A,TRUE,"Widnes"}</definedName>
    <definedName name="thy" hidden="1">#REF!</definedName>
    <definedName name="TIEIN" localSheetId="2" hidden="1">{#N/A,#N/A,FALSE,"손익표지";#N/A,#N/A,FALSE,"손익계산";#N/A,#N/A,FALSE,"일반관리비";#N/A,#N/A,FALSE,"영업외수익";#N/A,#N/A,FALSE,"영업외비용";#N/A,#N/A,FALSE,"매출액";#N/A,#N/A,FALSE,"요약손익";#N/A,#N/A,FALSE,"요약대차";#N/A,#N/A,FALSE,"매출채권현황";#N/A,#N/A,FALSE,"매출채권명세"}</definedName>
    <definedName name="TIEIN" hidden="1">{#N/A,#N/A,FALSE,"손익표지";#N/A,#N/A,FALSE,"손익계산";#N/A,#N/A,FALSE,"일반관리비";#N/A,#N/A,FALSE,"영업외수익";#N/A,#N/A,FALSE,"영업외비용";#N/A,#N/A,FALSE,"매출액";#N/A,#N/A,FALSE,"요약손익";#N/A,#N/A,FALSE,"요약대차";#N/A,#N/A,FALSE,"매출채권현황";#N/A,#N/A,FALSE,"매출채권명세"}</definedName>
    <definedName name="tmp" localSheetId="2" hidden="1">{"'Break down'!$A$4"}</definedName>
    <definedName name="tmp" hidden="1">{"'Break down'!$A$4"}</definedName>
    <definedName name="tnj" localSheetId="2" hidden="1">{"'Break down'!$A$4"}</definedName>
    <definedName name="tnj" hidden="1">{"'Break down'!$A$4"}</definedName>
    <definedName name="tno" localSheetId="2" hidden="1">{"'Break down'!$A$4"}</definedName>
    <definedName name="tno" hidden="1">{"'Break down'!$A$4"}</definedName>
    <definedName name="TOK" localSheetId="2" hidden="1">#REF!</definedName>
    <definedName name="TOK" hidden="1">#REF!</definedName>
    <definedName name="tppp" localSheetId="2" hidden="1">{"'Break down'!$A$4"}</definedName>
    <definedName name="tppp" hidden="1">{"'Break down'!$A$4"}</definedName>
    <definedName name="trbnuomi" localSheetId="2" hidden="1">{#N/A,#N/A,TRUE,"Cover";#N/A,#N/A,TRUE,"Conts";#N/A,#N/A,TRUE,"VOS";#N/A,#N/A,TRUE,"Warrington";#N/A,#N/A,TRUE,"Widnes"}</definedName>
    <definedName name="trbnuomi" hidden="1">{#N/A,#N/A,TRUE,"Cover";#N/A,#N/A,TRUE,"Conts";#N/A,#N/A,TRUE,"VOS";#N/A,#N/A,TRUE,"Warrington";#N/A,#N/A,TRUE,"Widnes"}</definedName>
    <definedName name="trgr" localSheetId="2" hidden="1">{#N/A,#N/A,TRUE,"Cover";#N/A,#N/A,TRUE,"Conts";#N/A,#N/A,TRUE,"VOS";#N/A,#N/A,TRUE,"Warrington";#N/A,#N/A,TRUE,"Widnes"}</definedName>
    <definedName name="trgr" hidden="1">{#N/A,#N/A,TRUE,"Cover";#N/A,#N/A,TRUE,"Conts";#N/A,#N/A,TRUE,"VOS";#N/A,#N/A,TRUE,"Warrington";#N/A,#N/A,TRUE,"Widnes"}</definedName>
    <definedName name="trhe" localSheetId="2" hidden="1">{#N/A,#N/A,TRUE,"Cover";#N/A,#N/A,TRUE,"Conts";#N/A,#N/A,TRUE,"VOS";#N/A,#N/A,TRUE,"Warrington";#N/A,#N/A,TRUE,"Widnes"}</definedName>
    <definedName name="trhe" hidden="1">{#N/A,#N/A,TRUE,"Cover";#N/A,#N/A,TRUE,"Conts";#N/A,#N/A,TRUE,"VOS";#N/A,#N/A,TRUE,"Warrington";#N/A,#N/A,TRUE,"Widnes"}</definedName>
    <definedName name="trhsh" localSheetId="2" hidden="1">{#N/A,#N/A,TRUE,"Cover";#N/A,#N/A,TRUE,"Conts";#N/A,#N/A,TRUE,"VOS";#N/A,#N/A,TRUE,"Warrington";#N/A,#N/A,TRUE,"Widnes"}</definedName>
    <definedName name="trhsh" hidden="1">{#N/A,#N/A,TRUE,"Cover";#N/A,#N/A,TRUE,"Conts";#N/A,#N/A,TRUE,"VOS";#N/A,#N/A,TRUE,"Warrington";#N/A,#N/A,TRUE,"Widnes"}</definedName>
    <definedName name="trhsw" localSheetId="2" hidden="1">{#N/A,#N/A,TRUE,"Cover";#N/A,#N/A,TRUE,"Conts";#N/A,#N/A,TRUE,"VOS";#N/A,#N/A,TRUE,"Warrington";#N/A,#N/A,TRUE,"Widnes"}</definedName>
    <definedName name="trhsw" hidden="1">{#N/A,#N/A,TRUE,"Cover";#N/A,#N/A,TRUE,"Conts";#N/A,#N/A,TRUE,"VOS";#N/A,#N/A,TRUE,"Warrington";#N/A,#N/A,TRUE,"Widnes"}</definedName>
    <definedName name="ttt" localSheetId="2" hidden="1">#REF!</definedName>
    <definedName name="ttt" hidden="1">#REF!</definedName>
    <definedName name="tttt" hidden="1">#REF!</definedName>
    <definedName name="tui" localSheetId="2" hidden="1">{#N/A,#N/A,TRUE,"Cover";#N/A,#N/A,TRUE,"Conts";#N/A,#N/A,TRUE,"VOS";#N/A,#N/A,TRUE,"Warrington";#N/A,#N/A,TRUE,"Widnes"}</definedName>
    <definedName name="tui" hidden="1">{#N/A,#N/A,TRUE,"Cover";#N/A,#N/A,TRUE,"Conts";#N/A,#N/A,TRUE,"VOS";#N/A,#N/A,TRUE,"Warrington";#N/A,#N/A,TRUE,"Widnes"}</definedName>
    <definedName name="tuite" localSheetId="2" hidden="1">{#N/A,#N/A,TRUE,"Cover";#N/A,#N/A,TRUE,"Conts";#N/A,#N/A,TRUE,"VOS";#N/A,#N/A,TRUE,"Warrington";#N/A,#N/A,TRUE,"Widnes"}</definedName>
    <definedName name="tuite" hidden="1">{#N/A,#N/A,TRUE,"Cover";#N/A,#N/A,TRUE,"Conts";#N/A,#N/A,TRUE,"VOS";#N/A,#N/A,TRUE,"Warrington";#N/A,#N/A,TRUE,"Widnes"}</definedName>
    <definedName name="TURGUT" localSheetId="2" hidden="1">{"turbine",#N/A,FALSE,"Option"}</definedName>
    <definedName name="TURGUT" hidden="1">{"turbine",#N/A,FALSE,"Option"}</definedName>
    <definedName name="turgutac" localSheetId="2" hidden="1">{#N/A,#N/A,TRUE,"arnitower";#N/A,#N/A,TRUE,"arnigarage "}</definedName>
    <definedName name="turgutac" hidden="1">{#N/A,#N/A,TRUE,"arnitower";#N/A,#N/A,TRUE,"arnigarage "}</definedName>
    <definedName name="tuti" hidden="1">#REF!</definedName>
    <definedName name="tvtyiuoujl" localSheetId="2" hidden="1">{#N/A,#N/A,TRUE,"Cover";#N/A,#N/A,TRUE,"Conts";#N/A,#N/A,TRUE,"VOS";#N/A,#N/A,TRUE,"Warrington";#N/A,#N/A,TRUE,"Widnes"}</definedName>
    <definedName name="tvtyiuoujl" hidden="1">{#N/A,#N/A,TRUE,"Cover";#N/A,#N/A,TRUE,"Conts";#N/A,#N/A,TRUE,"VOS";#N/A,#N/A,TRUE,"Warrington";#N/A,#N/A,TRUE,"Widnes"}</definedName>
    <definedName name="ty" localSheetId="2" hidden="1">{#N/A,#N/A,TRUE,"Cover";#N/A,#N/A,TRUE,"Conts";#N/A,#N/A,TRUE,"VOS";#N/A,#N/A,TRUE,"Warrington";#N/A,#N/A,TRUE,"Widnes"}</definedName>
    <definedName name="ty" hidden="1">{#N/A,#N/A,TRUE,"Cover";#N/A,#N/A,TRUE,"Conts";#N/A,#N/A,TRUE,"VOS";#N/A,#N/A,TRUE,"Warrington";#N/A,#N/A,TRUE,"Widnes"}</definedName>
    <definedName name="tyeret" localSheetId="2" hidden="1">{#N/A,#N/A,TRUE,"Front";#N/A,#N/A,TRUE,"Simple Letter";#N/A,#N/A,TRUE,"Inside";#N/A,#N/A,TRUE,"Contents";#N/A,#N/A,TRUE,"Basis";#N/A,#N/A,TRUE,"Inclusions";#N/A,#N/A,TRUE,"Exclusions";#N/A,#N/A,TRUE,"Areas";#N/A,#N/A,TRUE,"Summary";#N/A,#N/A,TRUE,"Detail"}</definedName>
    <definedName name="tyeret" hidden="1">{#N/A,#N/A,TRUE,"Front";#N/A,#N/A,TRUE,"Simple Letter";#N/A,#N/A,TRUE,"Inside";#N/A,#N/A,TRUE,"Contents";#N/A,#N/A,TRUE,"Basis";#N/A,#N/A,TRUE,"Inclusions";#N/A,#N/A,TRUE,"Exclusions";#N/A,#N/A,TRUE,"Areas";#N/A,#N/A,TRUE,"Summary";#N/A,#N/A,TRUE,"Detail"}</definedName>
    <definedName name="tyreryeryery" localSheetId="2" hidden="1">{#N/A,#N/A,TRUE,"Front";#N/A,#N/A,TRUE,"Simple Letter";#N/A,#N/A,TRUE,"Inside";#N/A,#N/A,TRUE,"Contents";#N/A,#N/A,TRUE,"Basis";#N/A,#N/A,TRUE,"Inclusions";#N/A,#N/A,TRUE,"Exclusions";#N/A,#N/A,TRUE,"Areas";#N/A,#N/A,TRUE,"Summary";#N/A,#N/A,TRUE,"Detail"}</definedName>
    <definedName name="tyreryeryery" hidden="1">{#N/A,#N/A,TRUE,"Front";#N/A,#N/A,TRUE,"Simple Letter";#N/A,#N/A,TRUE,"Inside";#N/A,#N/A,TRUE,"Contents";#N/A,#N/A,TRUE,"Basis";#N/A,#N/A,TRUE,"Inclusions";#N/A,#N/A,TRUE,"Exclusions";#N/A,#N/A,TRUE,"Areas";#N/A,#N/A,TRUE,"Summary";#N/A,#N/A,TRUE,"Detail"}</definedName>
    <definedName name="tyt" localSheetId="2" hidden="1">{#N/A,#N/A,TRUE,"Front";#N/A,#N/A,TRUE,"Simple Letter";#N/A,#N/A,TRUE,"Inside";#N/A,#N/A,TRUE,"Contents";#N/A,#N/A,TRUE,"Basis";#N/A,#N/A,TRUE,"Inclusions";#N/A,#N/A,TRUE,"Exclusions";#N/A,#N/A,TRUE,"Areas";#N/A,#N/A,TRUE,"Summary";#N/A,#N/A,TRUE,"Detail"}</definedName>
    <definedName name="tyt" hidden="1">{#N/A,#N/A,TRUE,"Front";#N/A,#N/A,TRUE,"Simple Letter";#N/A,#N/A,TRUE,"Inside";#N/A,#N/A,TRUE,"Contents";#N/A,#N/A,TRUE,"Basis";#N/A,#N/A,TRUE,"Inclusions";#N/A,#N/A,TRUE,"Exclusions";#N/A,#N/A,TRUE,"Areas";#N/A,#N/A,TRUE,"Summary";#N/A,#N/A,TRUE,"Detail"}</definedName>
    <definedName name="tyutri" localSheetId="2" hidden="1">{#N/A,#N/A,TRUE,"Cover";#N/A,#N/A,TRUE,"Conts";#N/A,#N/A,TRUE,"VOS";#N/A,#N/A,TRUE,"Warrington";#N/A,#N/A,TRUE,"Widnes"}</definedName>
    <definedName name="tyutri" hidden="1">{#N/A,#N/A,TRUE,"Cover";#N/A,#N/A,TRUE,"Conts";#N/A,#N/A,TRUE,"VOS";#N/A,#N/A,TRUE,"Warrington";#N/A,#N/A,TRUE,"Widnes"}</definedName>
    <definedName name="U5YT" localSheetId="2" hidden="1">{#N/A,#N/A,TRUE,"Front";#N/A,#N/A,TRUE,"Simple Letter";#N/A,#N/A,TRUE,"Inside";#N/A,#N/A,TRUE,"Contents";#N/A,#N/A,TRUE,"Basis";#N/A,#N/A,TRUE,"Inclusions";#N/A,#N/A,TRUE,"Exclusions";#N/A,#N/A,TRUE,"Areas";#N/A,#N/A,TRUE,"Summary";#N/A,#N/A,TRUE,"Detail"}</definedName>
    <definedName name="U5YT" hidden="1">{#N/A,#N/A,TRUE,"Front";#N/A,#N/A,TRUE,"Simple Letter";#N/A,#N/A,TRUE,"Inside";#N/A,#N/A,TRUE,"Contents";#N/A,#N/A,TRUE,"Basis";#N/A,#N/A,TRUE,"Inclusions";#N/A,#N/A,TRUE,"Exclusions";#N/A,#N/A,TRUE,"Areas";#N/A,#N/A,TRUE,"Summary";#N/A,#N/A,TRUE,"Detail"}</definedName>
    <definedName name="u667ri" localSheetId="2" hidden="1">{#N/A,#N/A,TRUE,"Front";#N/A,#N/A,TRUE,"Simple Letter";#N/A,#N/A,TRUE,"Inside";#N/A,#N/A,TRUE,"Contents";#N/A,#N/A,TRUE,"Basis";#N/A,#N/A,TRUE,"Inclusions";#N/A,#N/A,TRUE,"Exclusions";#N/A,#N/A,TRUE,"Areas";#N/A,#N/A,TRUE,"Summary";#N/A,#N/A,TRUE,"Detail"}</definedName>
    <definedName name="u667ri" hidden="1">{#N/A,#N/A,TRUE,"Front";#N/A,#N/A,TRUE,"Simple Letter";#N/A,#N/A,TRUE,"Inside";#N/A,#N/A,TRUE,"Contents";#N/A,#N/A,TRUE,"Basis";#N/A,#N/A,TRUE,"Inclusions";#N/A,#N/A,TRUE,"Exclusions";#N/A,#N/A,TRUE,"Areas";#N/A,#N/A,TRUE,"Summary";#N/A,#N/A,TRUE,"Detail"}</definedName>
    <definedName name="ubaid" localSheetId="2" hidden="1">{#N/A,#N/A,FALSE,"VCR"}</definedName>
    <definedName name="ubaid" hidden="1">{#N/A,#N/A,FALSE,"VCR"}</definedName>
    <definedName name="Ubaide" localSheetId="2" hidden="1">{#N/A,#N/A,FALSE,"VCR"}</definedName>
    <definedName name="Ubaide" hidden="1">{#N/A,#N/A,FALSE,"VCR"}</definedName>
    <definedName name="uhhtrytrs" localSheetId="2" hidden="1">{#N/A,#N/A,TRUE,"Cover";#N/A,#N/A,TRUE,"Conts";#N/A,#N/A,TRUE,"VOS";#N/A,#N/A,TRUE,"Warrington";#N/A,#N/A,TRUE,"Widnes"}</definedName>
    <definedName name="uhhtrytrs" hidden="1">{#N/A,#N/A,TRUE,"Cover";#N/A,#N/A,TRUE,"Conts";#N/A,#N/A,TRUE,"VOS";#N/A,#N/A,TRUE,"Warrington";#N/A,#N/A,TRUE,"Widnes"}</definedName>
    <definedName name="ui" localSheetId="2" hidden="1">{#N/A,#N/A,TRUE,"Cover";#N/A,#N/A,TRUE,"Conts";#N/A,#N/A,TRUE,"VOS";#N/A,#N/A,TRUE,"Warrington";#N/A,#N/A,TRUE,"Widnes"}</definedName>
    <definedName name="ui" hidden="1">{#N/A,#N/A,TRUE,"Cover";#N/A,#N/A,TRUE,"Conts";#N/A,#N/A,TRUE,"VOS";#N/A,#N/A,TRUE,"Warrington";#N/A,#N/A,TRUE,"Widnes"}</definedName>
    <definedName name="uih" localSheetId="2" hidden="1">{#N/A,#N/A,TRUE,"Cover";#N/A,#N/A,TRUE,"Conts";#N/A,#N/A,TRUE,"VOS";#N/A,#N/A,TRUE,"Warrington";#N/A,#N/A,TRUE,"Widnes"}</definedName>
    <definedName name="uih" hidden="1">{#N/A,#N/A,TRUE,"Cover";#N/A,#N/A,TRUE,"Conts";#N/A,#N/A,TRUE,"VOS";#N/A,#N/A,TRUE,"Warrington";#N/A,#N/A,TRUE,"Widnes"}</definedName>
    <definedName name="uit" localSheetId="2" hidden="1">{#N/A,#N/A,TRUE,"Cover";#N/A,#N/A,TRUE,"Conts";#N/A,#N/A,TRUE,"VOS";#N/A,#N/A,TRUE,"Warrington";#N/A,#N/A,TRUE,"Widnes"}</definedName>
    <definedName name="uit" hidden="1">{#N/A,#N/A,TRUE,"Cover";#N/A,#N/A,TRUE,"Conts";#N/A,#N/A,TRUE,"VOS";#N/A,#N/A,TRUE,"Warrington";#N/A,#N/A,TRUE,"Widnes"}</definedName>
    <definedName name="uiuif" localSheetId="2" hidden="1">{#N/A,#N/A,TRUE,"Cover";#N/A,#N/A,TRUE,"Conts";#N/A,#N/A,TRUE,"VOS";#N/A,#N/A,TRUE,"Warrington";#N/A,#N/A,TRUE,"Widnes"}</definedName>
    <definedName name="uiuif" hidden="1">{#N/A,#N/A,TRUE,"Cover";#N/A,#N/A,TRUE,"Conts";#N/A,#N/A,TRUE,"VOS";#N/A,#N/A,TRUE,"Warrington";#N/A,#N/A,TRUE,"Widnes"}</definedName>
    <definedName name="uiy" localSheetId="2" hidden="1">{#N/A,#N/A,TRUE,"Cover";#N/A,#N/A,TRUE,"Conts";#N/A,#N/A,TRUE,"VOS";#N/A,#N/A,TRUE,"Warrington";#N/A,#N/A,TRUE,"Widnes"}</definedName>
    <definedName name="uiy" hidden="1">{#N/A,#N/A,TRUE,"Cover";#N/A,#N/A,TRUE,"Conts";#N/A,#N/A,TRUE,"VOS";#N/A,#N/A,TRUE,"Warrington";#N/A,#N/A,TRUE,"Widnes"}</definedName>
    <definedName name="uiyuitii" localSheetId="2" hidden="1">{#N/A,#N/A,TRUE,"Cover";#N/A,#N/A,TRUE,"Conts";#N/A,#N/A,TRUE,"VOS";#N/A,#N/A,TRUE,"Warrington";#N/A,#N/A,TRUE,"Widnes"}</definedName>
    <definedName name="uiyuitii" hidden="1">{#N/A,#N/A,TRUE,"Cover";#N/A,#N/A,TRUE,"Conts";#N/A,#N/A,TRUE,"VOS";#N/A,#N/A,TRUE,"Warrington";#N/A,#N/A,TRUE,"Widnes"}</definedName>
    <definedName name="uj" localSheetId="2"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juuyi" localSheetId="2" hidden="1">{#N/A,#N/A,TRUE,"Front";#N/A,#N/A,TRUE,"Simple Letter";#N/A,#N/A,TRUE,"Inside";#N/A,#N/A,TRUE,"Contents";#N/A,#N/A,TRUE,"Basis";#N/A,#N/A,TRUE,"Inclusions";#N/A,#N/A,TRUE,"Exclusions";#N/A,#N/A,TRUE,"Areas";#N/A,#N/A,TRUE,"Summary";#N/A,#N/A,TRUE,"Detail"}</definedName>
    <definedName name="ujuuyi" hidden="1">{#N/A,#N/A,TRUE,"Front";#N/A,#N/A,TRUE,"Simple Letter";#N/A,#N/A,TRUE,"Inside";#N/A,#N/A,TRUE,"Contents";#N/A,#N/A,TRUE,"Basis";#N/A,#N/A,TRUE,"Inclusions";#N/A,#N/A,TRUE,"Exclusions";#N/A,#N/A,TRUE,"Areas";#N/A,#N/A,TRUE,"Summary";#N/A,#N/A,TRUE,"Detail"}</definedName>
    <definedName name="ulppuipui" localSheetId="2" hidden="1">{#N/A,#N/A,TRUE,"Cover";#N/A,#N/A,TRUE,"Conts";#N/A,#N/A,TRUE,"VOS";#N/A,#N/A,TRUE,"Warrington";#N/A,#N/A,TRUE,"Widnes"}</definedName>
    <definedName name="ulppuipui" hidden="1">{#N/A,#N/A,TRUE,"Cover";#N/A,#N/A,TRUE,"Conts";#N/A,#N/A,TRUE,"VOS";#N/A,#N/A,TRUE,"Warrington";#N/A,#N/A,TRUE,"Widnes"}</definedName>
    <definedName name="undo" localSheetId="2" hidden="1">{#N/A,#N/A,TRUE,"Cover";#N/A,#N/A,TRUE,"Conts";#N/A,#N/A,TRUE,"VOS";#N/A,#N/A,TRUE,"Warrington";#N/A,#N/A,TRUE,"Widnes"}</definedName>
    <definedName name="undo" hidden="1">{#N/A,#N/A,TRUE,"Cover";#N/A,#N/A,TRUE,"Conts";#N/A,#N/A,TRUE,"VOS";#N/A,#N/A,TRUE,"Warrington";#N/A,#N/A,TRUE,"Widnes"}</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olougouio" localSheetId="2" hidden="1">{#N/A,#N/A,TRUE,"Cover";#N/A,#N/A,TRUE,"Conts";#N/A,#N/A,TRUE,"VOS";#N/A,#N/A,TRUE,"Warrington";#N/A,#N/A,TRUE,"Widnes"}</definedName>
    <definedName name="uolougouio" hidden="1">{#N/A,#N/A,TRUE,"Cover";#N/A,#N/A,TRUE,"Conts";#N/A,#N/A,TRUE,"VOS";#N/A,#N/A,TRUE,"Warrington";#N/A,#N/A,TRUE,"Widnes"}</definedName>
    <definedName name="updated" localSheetId="2" hidden="1">{#N/A,#N/A,TRUE,"Cover";#N/A,#N/A,TRUE,"Conts";#N/A,#N/A,TRUE,"VOS";#N/A,#N/A,TRUE,"Warrington";#N/A,#N/A,TRUE,"Widnes"}</definedName>
    <definedName name="updated" hidden="1">{#N/A,#N/A,TRUE,"Cover";#N/A,#N/A,TRUE,"Conts";#N/A,#N/A,TRUE,"VOS";#N/A,#N/A,TRUE,"Warrington";#N/A,#N/A,TRUE,"Widnes"}</definedName>
    <definedName name="upo" localSheetId="2" hidden="1">{"'Break down'!$A$4"}</definedName>
    <definedName name="upo" hidden="1">{"'Break down'!$A$4"}</definedName>
    <definedName name="UUU" localSheetId="2" hidden="1">{#N/A,#N/A,FALSE,"CCTV"}</definedName>
    <definedName name="UUU" hidden="1">{#N/A,#N/A,FALSE,"CCTV"}</definedName>
    <definedName name="uuuu" localSheetId="2" hidden="1">{"'Break down'!$A$4"}</definedName>
    <definedName name="uuuu" hidden="1">{"'Break down'!$A$4"}</definedName>
    <definedName name="uuuyi" localSheetId="2" hidden="1">{"'Break down'!$A$4"}</definedName>
    <definedName name="uuuyi" hidden="1">{"'Break down'!$A$4"}</definedName>
    <definedName name="uy" localSheetId="2" hidden="1">{#N/A,#N/A,TRUE,"Cover";#N/A,#N/A,TRUE,"Conts";#N/A,#N/A,TRUE,"VOS";#N/A,#N/A,TRUE,"Warrington";#N/A,#N/A,TRUE,"Widnes"}</definedName>
    <definedName name="uy" hidden="1">{#N/A,#N/A,TRUE,"Cover";#N/A,#N/A,TRUE,"Conts";#N/A,#N/A,TRUE,"VOS";#N/A,#N/A,TRUE,"Warrington";#N/A,#N/A,TRUE,"Widnes"}</definedName>
    <definedName name="v" hidden="1">{#N/A,#N/A,TRUE,"Cover";#N/A,#N/A,TRUE,"Conts";#N/A,#N/A,TRUE,"VOS";#N/A,#N/A,TRUE,"Warrington";#N/A,#N/A,TRUE,"Widnes"}</definedName>
    <definedName name="Variation" localSheetId="2"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dor1" localSheetId="2" hidden="1">#REF!</definedName>
    <definedName name="Vendor1" hidden="1">#REF!</definedName>
    <definedName name="vertex42_copyright" hidden="1">"© 2008-2017 Vertex42 LLC"</definedName>
    <definedName name="vertex42_id" hidden="1">"loan-amortization-schedule_L.xlsx"</definedName>
    <definedName name="vertex42_title" hidden="1">"Loan Amortization Schedule"</definedName>
    <definedName name="viajes2" localSheetId="2" hidden="1">{#N/A,#N/A,TRUE,"RESUMEN ECON.";#N/A,#N/A,TRUE,"Costos de R.H.";#N/A,#N/A,TRUE,"COSTO HW";#N/A,#N/A,TRUE,"CUADROS";#N/A,#N/A,TRUE,"SCADA´s";#N/A,#N/A,TRUE,"PRECIOS EQUIPOS"}</definedName>
    <definedName name="viajes2" hidden="1">{#N/A,#N/A,TRUE,"RESUMEN ECON.";#N/A,#N/A,TRUE,"Costos de R.H.";#N/A,#N/A,TRUE,"COSTO HW";#N/A,#N/A,TRUE,"CUADROS";#N/A,#N/A,TRUE,"SCADA´s";#N/A,#N/A,TRUE,"PRECIOS EQUIPOS"}</definedName>
    <definedName name="vj" localSheetId="2" hidden="1">{#N/A,#N/A,TRUE,"Cover";#N/A,#N/A,TRUE,"Conts";#N/A,#N/A,TRUE,"VOS";#N/A,#N/A,TRUE,"Warrington";#N/A,#N/A,TRUE,"Widnes"}</definedName>
    <definedName name="vj" hidden="1">{#N/A,#N/A,TRUE,"Cover";#N/A,#N/A,TRUE,"Conts";#N/A,#N/A,TRUE,"VOS";#N/A,#N/A,TRUE,"Warrington";#N/A,#N/A,TRUE,"Widnes"}</definedName>
    <definedName name="vur" localSheetId="2" hidden="1">#REF!</definedName>
    <definedName name="vur" hidden="1">#REF!</definedName>
    <definedName name="vural" localSheetId="2" hidden="1">#REF!</definedName>
    <definedName name="vural" hidden="1">#REF!</definedName>
    <definedName name="vvv" localSheetId="2" hidden="1">#REF!</definedName>
    <definedName name="vvv" hidden="1">#REF!</definedName>
    <definedName name="vxckbmjklbgjnklgbmjh" hidden="1">#REF!</definedName>
    <definedName name="w26te" localSheetId="2" hidden="1">{#N/A,#N/A,TRUE,"Cover";#N/A,#N/A,TRUE,"Conts";#N/A,#N/A,TRUE,"VOS";#N/A,#N/A,TRUE,"Warrington";#N/A,#N/A,TRUE,"Widnes"}</definedName>
    <definedName name="w26te" hidden="1">{#N/A,#N/A,TRUE,"Cover";#N/A,#N/A,TRUE,"Conts";#N/A,#N/A,TRUE,"VOS";#N/A,#N/A,TRUE,"Warrington";#N/A,#N/A,TRUE,"Widnes"}</definedName>
    <definedName name="w6y" localSheetId="2" hidden="1">{#N/A,#N/A,TRUE,"Cover";#N/A,#N/A,TRUE,"Conts";#N/A,#N/A,TRUE,"VOS";#N/A,#N/A,TRUE,"Warrington";#N/A,#N/A,TRUE,"Widnes"}</definedName>
    <definedName name="w6y" hidden="1">{#N/A,#N/A,TRUE,"Cover";#N/A,#N/A,TRUE,"Conts";#N/A,#N/A,TRUE,"VOS";#N/A,#N/A,TRUE,"Warrington";#N/A,#N/A,TRUE,"Widnes"}</definedName>
    <definedName name="waff" localSheetId="2" hidden="1">{#N/A,#N/A,TRUE,"Cover";#N/A,#N/A,TRUE,"Conts";#N/A,#N/A,TRUE,"VOS";#N/A,#N/A,TRUE,"Warrington";#N/A,#N/A,TRUE,"Widnes"}</definedName>
    <definedName name="waff" hidden="1">{#N/A,#N/A,TRUE,"Cover";#N/A,#N/A,TRUE,"Conts";#N/A,#N/A,TRUE,"VOS";#N/A,#N/A,TRUE,"Warrington";#N/A,#N/A,TRUE,"Widnes"}</definedName>
    <definedName name="warergtrjyiu" localSheetId="2" hidden="1">{#N/A,#N/A,TRUE,"Cover";#N/A,#N/A,TRUE,"Conts";#N/A,#N/A,TRUE,"VOS";#N/A,#N/A,TRUE,"Warrington";#N/A,#N/A,TRUE,"Widnes"}</definedName>
    <definedName name="warergtrjyiu" hidden="1">{#N/A,#N/A,TRUE,"Cover";#N/A,#N/A,TRUE,"Conts";#N/A,#N/A,TRUE,"VOS";#N/A,#N/A,TRUE,"Warrington";#N/A,#N/A,TRUE,"Widnes"}</definedName>
    <definedName name="water_funds" localSheetId="2" hidden="1">{"'Sheet1'!$A$4386:$N$4591"}</definedName>
    <definedName name="water_funds" hidden="1">{"'Sheet1'!$A$4386:$N$4591"}</definedName>
    <definedName name="wawst" localSheetId="2" hidden="1">{#N/A,#N/A,TRUE,"Cover";#N/A,#N/A,TRUE,"Conts";#N/A,#N/A,TRUE,"VOS";#N/A,#N/A,TRUE,"Warrington";#N/A,#N/A,TRUE,"Widnes"}</definedName>
    <definedName name="wawst" hidden="1">{#N/A,#N/A,TRUE,"Cover";#N/A,#N/A,TRUE,"Conts";#N/A,#N/A,TRUE,"VOS";#N/A,#N/A,TRUE,"Warrington";#N/A,#N/A,TRUE,"Widnes"}</definedName>
    <definedName name="wedus" localSheetId="2" hidden="1">#REF!</definedName>
    <definedName name="wedus" hidden="1">#REF!</definedName>
    <definedName name="wef" localSheetId="2" hidden="1">{#N/A,#N/A,TRUE,"Front";#N/A,#N/A,TRUE,"Simple Letter";#N/A,#N/A,TRUE,"Inside";#N/A,#N/A,TRUE,"Contents";#N/A,#N/A,TRUE,"Basis";#N/A,#N/A,TRUE,"Inclusions";#N/A,#N/A,TRUE,"Exclusions";#N/A,#N/A,TRUE,"Areas";#N/A,#N/A,TRUE,"Summary";#N/A,#N/A,TRUE,"Detail"}</definedName>
    <definedName name="wef" hidden="1">{#N/A,#N/A,TRUE,"Front";#N/A,#N/A,TRUE,"Simple Letter";#N/A,#N/A,TRUE,"Inside";#N/A,#N/A,TRUE,"Contents";#N/A,#N/A,TRUE,"Basis";#N/A,#N/A,TRUE,"Inclusions";#N/A,#N/A,TRUE,"Exclusions";#N/A,#N/A,TRUE,"Areas";#N/A,#N/A,TRUE,"Summary";#N/A,#N/A,TRUE,"Detail"}</definedName>
    <definedName name="wefwer" localSheetId="2" hidden="1">{#N/A,#N/A,TRUE,"Front";#N/A,#N/A,TRUE,"Simple Letter";#N/A,#N/A,TRUE,"Inside";#N/A,#N/A,TRUE,"Contents";#N/A,#N/A,TRUE,"Basis";#N/A,#N/A,TRUE,"Inclusions";#N/A,#N/A,TRUE,"Exclusions";#N/A,#N/A,TRUE,"Areas";#N/A,#N/A,TRUE,"Summary";#N/A,#N/A,TRUE,"Detail"}</definedName>
    <definedName name="wefwer" hidden="1">{#N/A,#N/A,TRUE,"Front";#N/A,#N/A,TRUE,"Simple Letter";#N/A,#N/A,TRUE,"Inside";#N/A,#N/A,TRUE,"Contents";#N/A,#N/A,TRUE,"Basis";#N/A,#N/A,TRUE,"Inclusions";#N/A,#N/A,TRUE,"Exclusions";#N/A,#N/A,TRUE,"Areas";#N/A,#N/A,TRUE,"Summary";#N/A,#N/A,TRUE,"Detail"}</definedName>
    <definedName name="wegWE" localSheetId="2" hidden="1">{#N/A,#N/A,TRUE,"Cover";#N/A,#N/A,TRUE,"Conts";#N/A,#N/A,TRUE,"VOS";#N/A,#N/A,TRUE,"Warrington";#N/A,#N/A,TRUE,"Widnes"}</definedName>
    <definedName name="wegWE" hidden="1">{#N/A,#N/A,TRUE,"Cover";#N/A,#N/A,TRUE,"Conts";#N/A,#N/A,TRUE,"VOS";#N/A,#N/A,TRUE,"Warrington";#N/A,#N/A,TRUE,"Widnes"}</definedName>
    <definedName name="wegywegt" localSheetId="2" hidden="1">{#N/A,#N/A,TRUE,"Cover";#N/A,#N/A,TRUE,"Conts";#N/A,#N/A,TRUE,"VOS";#N/A,#N/A,TRUE,"Warrington";#N/A,#N/A,TRUE,"Widnes"}</definedName>
    <definedName name="wegywegt" hidden="1">{#N/A,#N/A,TRUE,"Cover";#N/A,#N/A,TRUE,"Conts";#N/A,#N/A,TRUE,"VOS";#N/A,#N/A,TRUE,"Warrington";#N/A,#N/A,TRUE,"Widnes"}</definedName>
    <definedName name="weo" localSheetId="2" hidden="1">{"'Break down'!$A$4"}</definedName>
    <definedName name="weo" hidden="1">{"'Break down'!$A$4"}</definedName>
    <definedName name="weq" localSheetId="2"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qr" localSheetId="2" hidden="1">{#N/A,#N/A,TRUE,"Front";#N/A,#N/A,TRUE,"Simple Letter";#N/A,#N/A,TRUE,"Inside";#N/A,#N/A,TRUE,"Contents";#N/A,#N/A,TRUE,"Basis";#N/A,#N/A,TRUE,"Inclusions";#N/A,#N/A,TRUE,"Exclusions";#N/A,#N/A,TRUE,"Areas";#N/A,#N/A,TRUE,"Summary";#N/A,#N/A,TRUE,"Detail"}</definedName>
    <definedName name="weqr" hidden="1">{#N/A,#N/A,TRUE,"Front";#N/A,#N/A,TRUE,"Simple Letter";#N/A,#N/A,TRUE,"Inside";#N/A,#N/A,TRUE,"Contents";#N/A,#N/A,TRUE,"Basis";#N/A,#N/A,TRUE,"Inclusions";#N/A,#N/A,TRUE,"Exclusions";#N/A,#N/A,TRUE,"Areas";#N/A,#N/A,TRUE,"Summary";#N/A,#N/A,TRUE,"Detail"}</definedName>
    <definedName name="weqrff" localSheetId="2" hidden="1">{#N/A,#N/A,TRUE,"Front";#N/A,#N/A,TRUE,"Simple Letter";#N/A,#N/A,TRUE,"Inside";#N/A,#N/A,TRUE,"Contents";#N/A,#N/A,TRUE,"Basis";#N/A,#N/A,TRUE,"Inclusions";#N/A,#N/A,TRUE,"Exclusions";#N/A,#N/A,TRUE,"Areas";#N/A,#N/A,TRUE,"Summary";#N/A,#N/A,TRUE,"Detail"}</definedName>
    <definedName name="weqrff" hidden="1">{#N/A,#N/A,TRUE,"Front";#N/A,#N/A,TRUE,"Simple Letter";#N/A,#N/A,TRUE,"Inside";#N/A,#N/A,TRUE,"Contents";#N/A,#N/A,TRUE,"Basis";#N/A,#N/A,TRUE,"Inclusions";#N/A,#N/A,TRUE,"Exclusions";#N/A,#N/A,TRUE,"Areas";#N/A,#N/A,TRUE,"Summary";#N/A,#N/A,TRUE,"Detail"}</definedName>
    <definedName name="weqt" hidden="1">#REF!</definedName>
    <definedName name="wert" localSheetId="2" hidden="1">{#N/A,#N/A,TRUE,"Cover";#N/A,#N/A,TRUE,"Conts";#N/A,#N/A,TRUE,"VOS";#N/A,#N/A,TRUE,"Warrington";#N/A,#N/A,TRUE,"Widnes"}</definedName>
    <definedName name="wert" hidden="1">{#N/A,#N/A,TRUE,"Cover";#N/A,#N/A,TRUE,"Conts";#N/A,#N/A,TRUE,"VOS";#N/A,#N/A,TRUE,"Warrington";#N/A,#N/A,TRUE,"Widnes"}</definedName>
    <definedName name="werttt" localSheetId="2" hidden="1">{"'Break down'!$A$4"}</definedName>
    <definedName name="werttt" hidden="1">{"'Break down'!$A$4"}</definedName>
    <definedName name="wertwr" localSheetId="2" hidden="1">{#N/A,#N/A,TRUE,"Front";#N/A,#N/A,TRUE,"Simple Letter";#N/A,#N/A,TRUE,"Inside";#N/A,#N/A,TRUE,"Contents";#N/A,#N/A,TRUE,"Basis";#N/A,#N/A,TRUE,"Inclusions";#N/A,#N/A,TRUE,"Exclusions";#N/A,#N/A,TRUE,"Areas";#N/A,#N/A,TRUE,"Summary";#N/A,#N/A,TRUE,"Detail"}</definedName>
    <definedName name="wertwr" hidden="1">{#N/A,#N/A,TRUE,"Front";#N/A,#N/A,TRUE,"Simple Letter";#N/A,#N/A,TRUE,"Inside";#N/A,#N/A,TRUE,"Contents";#N/A,#N/A,TRUE,"Basis";#N/A,#N/A,TRUE,"Inclusions";#N/A,#N/A,TRUE,"Exclusions";#N/A,#N/A,TRUE,"Areas";#N/A,#N/A,TRUE,"Summary";#N/A,#N/A,TRUE,"Detail"}</definedName>
    <definedName name="wet" hidden="1">#REF!</definedName>
    <definedName name="wetjy" localSheetId="2" hidden="1">{#N/A,#N/A,TRUE,"Cover";#N/A,#N/A,TRUE,"Conts";#N/A,#N/A,TRUE,"VOS";#N/A,#N/A,TRUE,"Warrington";#N/A,#N/A,TRUE,"Widnes"}</definedName>
    <definedName name="wetjy" hidden="1">{#N/A,#N/A,TRUE,"Cover";#N/A,#N/A,TRUE,"Conts";#N/A,#N/A,TRUE,"VOS";#N/A,#N/A,TRUE,"Warrington";#N/A,#N/A,TRUE,"Widnes"}</definedName>
    <definedName name="wetwyer" hidden="1">#REF!</definedName>
    <definedName name="wetyrutu" localSheetId="2" hidden="1">{#N/A,#N/A,TRUE,"Cover";#N/A,#N/A,TRUE,"Conts";#N/A,#N/A,TRUE,"VOS";#N/A,#N/A,TRUE,"Warrington";#N/A,#N/A,TRUE,"Widnes"}</definedName>
    <definedName name="wetyrutu" hidden="1">{#N/A,#N/A,TRUE,"Cover";#N/A,#N/A,TRUE,"Conts";#N/A,#N/A,TRUE,"VOS";#N/A,#N/A,TRUE,"Warrington";#N/A,#N/A,TRUE,"Widnes"}</definedName>
    <definedName name="WGEW" localSheetId="2" hidden="1">{#N/A,#N/A,TRUE,"Cover";#N/A,#N/A,TRUE,"Conts";#N/A,#N/A,TRUE,"VOS";#N/A,#N/A,TRUE,"Warrington";#N/A,#N/A,TRUE,"Widnes"}</definedName>
    <definedName name="WGEW" hidden="1">{#N/A,#N/A,TRUE,"Cover";#N/A,#N/A,TRUE,"Conts";#N/A,#N/A,TRUE,"VOS";#N/A,#N/A,TRUE,"Warrington";#N/A,#N/A,TRUE,"Widnes"}</definedName>
    <definedName name="wgWE" localSheetId="2" hidden="1">{#N/A,#N/A,TRUE,"Cover";#N/A,#N/A,TRUE,"Conts";#N/A,#N/A,TRUE,"VOS";#N/A,#N/A,TRUE,"Warrington";#N/A,#N/A,TRUE,"Widnes"}</definedName>
    <definedName name="wgWE" hidden="1">{#N/A,#N/A,TRUE,"Cover";#N/A,#N/A,TRUE,"Conts";#N/A,#N/A,TRUE,"VOS";#N/A,#N/A,TRUE,"Warrington";#N/A,#N/A,TRUE,"Widnes"}</definedName>
    <definedName name="why" localSheetId="2" hidden="1">{"ECA Qtrs C",#N/A,TRUE,"ECA_Qtrs_C";"ECA Qtrs D",#N/A,TRUE,"ECA_Qtrs_D";"ECA Qtrs F",#N/A,TRUE,"ECA_Qtrs_F";"ECA Qtrs G",#N/A,TRUE,"ECA_Qtrs_G";"ECA SisterApt",#N/A,TRUE,"ECA_SisterApt";"ECA Nurses",#N/A,TRUE,"ECA_NursesHostel"}</definedName>
    <definedName name="why" hidden="1">{"ECA Qtrs C",#N/A,TRUE,"ECA_Qtrs_C";"ECA Qtrs D",#N/A,TRUE,"ECA_Qtrs_D";"ECA Qtrs F",#N/A,TRUE,"ECA_Qtrs_F";"ECA Qtrs G",#N/A,TRUE,"ECA_Qtrs_G";"ECA SisterApt",#N/A,TRUE,"ECA_SisterApt";"ECA Nurses",#N/A,TRUE,"ECA_NursesHostel"}</definedName>
    <definedName name="wjs" localSheetId="2" hidden="1">{#N/A,#N/A,FALSE,"CCTV"}</definedName>
    <definedName name="wjs" hidden="1">{#N/A,#N/A,FALSE,"CCTV"}</definedName>
    <definedName name="WM" localSheetId="2" hidden="1">{#N/A,#N/A,FALSE,"CCTV"}</definedName>
    <definedName name="WM" hidden="1">{#N/A,#N/A,FALSE,"CCTV"}</definedName>
    <definedName name="wm.조골재1" localSheetId="2" hidden="1">{#N/A,#N/A,FALSE,"조골재"}</definedName>
    <definedName name="wm.조골재1" hidden="1">{#N/A,#N/A,FALSE,"조골재"}</definedName>
    <definedName name="Wood" localSheetId="2" hidden="1">{#N/A,#N/A,FALSE,"OUTPUT SHEET "}</definedName>
    <definedName name="Wood" hidden="1">{#N/A,#N/A,FALSE,"OUTPUT SHEET "}</definedName>
    <definedName name="wqer" localSheetId="2" hidden="1">{#N/A,#N/A,TRUE,"Cover";#N/A,#N/A,TRUE,"Conts";#N/A,#N/A,TRUE,"VOS";#N/A,#N/A,TRUE,"Warrington";#N/A,#N/A,TRUE,"Widnes"}</definedName>
    <definedName name="wqer" hidden="1">{#N/A,#N/A,TRUE,"Cover";#N/A,#N/A,TRUE,"Conts";#N/A,#N/A,TRUE,"VOS";#N/A,#N/A,TRUE,"Warrington";#N/A,#N/A,TRUE,"Widnes"}</definedName>
    <definedName name="wqerwe" hidden="1">#REF!</definedName>
    <definedName name="WR" localSheetId="2" hidden="1">{#N/A,#N/A,FALSE,"CCTV"}</definedName>
    <definedName name="WR" hidden="1">{#N/A,#N/A,FALSE,"CCTV"}</definedName>
    <definedName name="wreay" hidden="1">#REF!</definedName>
    <definedName name="WRITE" localSheetId="2" hidden="1">{#N/A,#N/A,FALSE,"CCTV"}</definedName>
    <definedName name="WRITE" hidden="1">{#N/A,#N/A,FALSE,"CCTV"}</definedName>
    <definedName name="WRM" localSheetId="2" hidden="1">{#N/A,#N/A,FALSE,"CCTV"}</definedName>
    <definedName name="WRM" hidden="1">{#N/A,#N/A,FALSE,"CCTV"}</definedName>
    <definedName name="wrn.2번." localSheetId="2" hidden="1">{#N/A,#N/A,FALSE,"2~8번"}</definedName>
    <definedName name="wrn.2번." hidden="1">{#N/A,#N/A,FALSE,"2~8번"}</definedName>
    <definedName name="wrn.all." localSheetId="2"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Divisions." localSheetId="2" hidden="1">{#N/A,#N/A,TRUE,"DIV1";#N/A,#N/A,TRUE,"DIV2";#N/A,#N/A,TRUE,"DIV3";#N/A,#N/A,TRUE,"DIV4";#N/A,#N/A,TRUE,"DIV5";#N/A,#N/A,TRUE,"DIV6";#N/A,#N/A,TRUE,"DIV7";#N/A,#N/A,TRUE,"DIV8";#N/A,#N/A,TRUE,"DIV9";#N/A,#N/A,TRUE,"DIV10";#N/A,#N/A,TRUE,"DIV11";#N/A,#N/A,TRUE,"DIV12";#N/A,#N/A,TRUE,"DIV13";#N/A,#N/A,TRUE,"DIV14";#N/A,#N/A,TRUE,"DIV15a";#N/A,#N/A,TRUE,"DIV15b";#N/A,#N/A,TRUE,"DIV15c";#N/A,#N/A,TRUE,"DIV15d";#N/A,#N/A,TRUE,"DIV16a";#N/A,#N/A,TRUE,"DIV16b";#N/A,#N/A,TRUE,"DIV16c"}</definedName>
    <definedName name="wrn.All._.Divisions." hidden="1">{#N/A,#N/A,TRUE,"DIV1";#N/A,#N/A,TRUE,"DIV2";#N/A,#N/A,TRUE,"DIV3";#N/A,#N/A,TRUE,"DIV4";#N/A,#N/A,TRUE,"DIV5";#N/A,#N/A,TRUE,"DIV6";#N/A,#N/A,TRUE,"DIV7";#N/A,#N/A,TRUE,"DIV8";#N/A,#N/A,TRUE,"DIV9";#N/A,#N/A,TRUE,"DIV10";#N/A,#N/A,TRUE,"DIV11";#N/A,#N/A,TRUE,"DIV12";#N/A,#N/A,TRUE,"DIV13";#N/A,#N/A,TRUE,"DIV14";#N/A,#N/A,TRUE,"DIV15a";#N/A,#N/A,TRUE,"DIV15b";#N/A,#N/A,TRUE,"DIV15c";#N/A,#N/A,TRUE,"DIV15d";#N/A,#N/A,TRUE,"DIV16a";#N/A,#N/A,TRUE,"DIV16b";#N/A,#N/A,TRUE,"DIV16c"}</definedName>
    <definedName name="wrn.all._.lines." localSheetId="2"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annex." localSheetId="2" hidden="1">{"orders",#N/A,FALSE,"Orders &amp; Annexures";"to",#N/A,FALSE,"Orders &amp; Annexures";"exp",#N/A,FALSE,"Orders &amp; Annexures";"gp",#N/A,FALSE,"Orders &amp; Annexures";"oh dep",#N/A,FALSE,"Orders &amp; Annexures";"taxdep",#N/A,FALSE,"Orders &amp; Annexures";"tax",#N/A,FALSE,"Orders &amp; Annexures";"cp",#N/A,FALSE,"Orders &amp; Annexures"}</definedName>
    <definedName name="wrn.annex." hidden="1">{"orders",#N/A,FALSE,"Orders &amp; Annexures";"to",#N/A,FALSE,"Orders &amp; Annexures";"exp",#N/A,FALSE,"Orders &amp; Annexures";"gp",#N/A,FALSE,"Orders &amp; Annexures";"oh dep",#N/A,FALSE,"Orders &amp; Annexures";"taxdep",#N/A,FALSE,"Orders &amp; Annexures";"tax",#N/A,FALSE,"Orders &amp; Annexures";"cp",#N/A,FALSE,"Orders &amp; Annexures"}</definedName>
    <definedName name="wrn.b" localSheetId="2" hidden="1">{#N/A,#N/A,TRUE,"SUMMARY";#N/A,#N/A,TRUE,"ISBL";#N/A,#N/A,TRUE,"OSBL";#N/A,#N/A,TRUE,"OFFSITE";#N/A,#N/A,TRUE,"STEAM"}</definedName>
    <definedName name="wrn.b" hidden="1">{#N/A,#N/A,TRUE,"SUMMARY";#N/A,#N/A,TRUE,"ISBL";#N/A,#N/A,TRUE,"OSBL";#N/A,#N/A,TRUE,"OFFSITE";#N/A,#N/A,TRUE,"STEAM"}</definedName>
    <definedName name="wrn.Barbara._.Modular._.Indirects." localSheetId="2" hidden="1">{#N/A,#N/A,FALSE,"COVER";#N/A,#N/A,FALSE,"RECAP";#N/A,#N/A,FALSE,"SANTA BARBARA NONMANUAL";#N/A,#N/A,FALSE,"CEQUIP";#N/A,#N/A,FALSE,"WRATE";#N/A,#N/A,FALSE,"INDIRECT";#N/A,#N/A,FALSE,"TRAIN";#N/A,#N/A,FALSE,"MANLOADED SCHEDULE"}</definedName>
    <definedName name="wrn.Barbara._.Modular._.Indirects." hidden="1">{#N/A,#N/A,FALSE,"COVER";#N/A,#N/A,FALSE,"RECAP";#N/A,#N/A,FALSE,"SANTA BARBARA NONMANUAL";#N/A,#N/A,FALSE,"CEQUIP";#N/A,#N/A,FALSE,"WRATE";#N/A,#N/A,FALSE,"INDIRECT";#N/A,#N/A,FALSE,"TRAIN";#N/A,#N/A,FALSE,"MANLOADED SCHEDULE"}</definedName>
    <definedName name="wrn.bh." localSheetId="2" hidden="1">{#N/A,#N/A,FALSE,"TELEFON"}</definedName>
    <definedName name="wrn.bh." hidden="1">{#N/A,#N/A,FALSE,"TELEFON"}</definedName>
    <definedName name="wrn.bh1." localSheetId="2" hidden="1">{#N/A,#N/A,FALSE,"TELEFON"}</definedName>
    <definedName name="wrn.bh1." hidden="1">{#N/A,#N/A,FALSE,"TELEFON"}</definedName>
    <definedName name="wrn.BIDSUM." localSheetId="2" hidden="1">{#N/A,#N/A,TRUE,"SUMMARY";#N/A,#N/A,TRUE,"ISBL";#N/A,#N/A,TRUE,"OSBL";#N/A,#N/A,TRUE,"OFFSITE";#N/A,#N/A,TRUE,"STEAM"}</definedName>
    <definedName name="wrn.BIDSUM." hidden="1">{#N/A,#N/A,TRUE,"SUMMARY";#N/A,#N/A,TRUE,"ISBL";#N/A,#N/A,TRUE,"OSBL";#N/A,#N/A,TRUE,"OFFSITE";#N/A,#N/A,TRUE,"STEAM"}</definedName>
    <definedName name="wrn.BM." localSheetId="2" hidden="1">{#N/A,#N/A,FALSE,"CCTV"}</definedName>
    <definedName name="wrn.BM." hidden="1">{#N/A,#N/A,FALSE,"CCTV"}</definedName>
    <definedName name="wrn.CHIEF._.REVIEW." localSheetId="2" hidden="1">{#N/A,#N/A,FALSE,"Q&amp;AE";#N/A,#N/A,FALSE,"Params";#N/A,#N/A,FALSE,"ReconE";#N/A,#N/A,FALSE,"CostCompE";#N/A,#N/A,FALSE,"SummaryE";#N/A,#N/A,FALSE,"Detail";#N/A,#N/A,FALSE,"PayItem"}</definedName>
    <definedName name="wrn.CHIEF._.REVIEW." hidden="1">{#N/A,#N/A,FALSE,"Q&amp;AE";#N/A,#N/A,FALSE,"Params";#N/A,#N/A,FALSE,"ReconE";#N/A,#N/A,FALSE,"CostCompE";#N/A,#N/A,FALSE,"SummaryE";#N/A,#N/A,FALSE,"Detail";#N/A,#N/A,FALSE,"PayItem"}</definedName>
    <definedName name="wrn.CIRCUITS." localSheetId="2" hidden="1">{"DBANK",#N/A,FALSE,"PriceE";"CKTS",#N/A,FALSE,"PriceE"}</definedName>
    <definedName name="wrn.CIRCUITS." hidden="1">{"DBANK",#N/A,FALSE,"PriceE";"CKTS",#N/A,FALSE,"PriceE"}</definedName>
    <definedName name="wrn.Complete._.Cost._.Sheet."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ST_SHEETS." localSheetId="2" hidden="1">{#N/A,#N/A,FALSE,"WBS 1.06";#N/A,#N/A,FALSE,"WBS 1.14";#N/A,#N/A,FALSE,"WBS 1.17";#N/A,#N/A,FALSE,"WBS 1.18"}</definedName>
    <definedName name="wrn.COST_SHEETS." hidden="1">{#N/A,#N/A,FALSE,"WBS 1.06";#N/A,#N/A,FALSE,"WBS 1.14";#N/A,#N/A,FALSE,"WBS 1.17";#N/A,#N/A,FALSE,"WBS 1.18"}</definedName>
    <definedName name="wrn.Cost._.Summary." localSheetId="2" hidden="1">{"Cost Summary",#N/A,FALSE,"B";"Cost Detail 1",#N/A,FALSE,"C";"Cost Detail 2",#N/A,FALSE,"C"}</definedName>
    <definedName name="wrn.Cost._.Summary." hidden="1">{"Cost Summary",#N/A,FALSE,"B";"Cost Detail 1",#N/A,FALSE,"C";"Cost Detail 2",#N/A,FALSE,"C"}</definedName>
    <definedName name="wrn.costprint." localSheetId="2"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2"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IRLABR." localSheetId="2" hidden="1">{#N/A,#N/A,TRUE,"CS&amp;SS(AG)";#N/A,#N/A,TRUE,"CS(UG)";#N/A,#N/A,TRUE,"CSCL(UG)";#N/A,#N/A,TRUE,"KYNAR";#N/A,#N/A,TRUE,"ALLOY904";#N/A,#N/A,TRUE,"TITANIUM";#N/A,#N/A,TRUE,"STMTRACE"}</definedName>
    <definedName name="wrn.DIRLABR." hidden="1">{#N/A,#N/A,TRUE,"CS&amp;SS(AG)";#N/A,#N/A,TRUE,"CS(UG)";#N/A,#N/A,TRUE,"CSCL(UG)";#N/A,#N/A,TRUE,"KYNAR";#N/A,#N/A,TRUE,"ALLOY904";#N/A,#N/A,TRUE,"TITANIUM";#N/A,#N/A,TRUE,"STMTRACE"}</definedName>
    <definedName name="wrn.Final._.Account." localSheetId="2" hidden="1">{#N/A,#N/A,FALSE,"Header P";#N/A,#N/A,FALSE,"Summary";#N/A,#N/A,FALSE,"CONTRACT WORKS";#N/A,#N/A,FALSE,"Variations";#N/A,#N/A,FALSE,"Dwk"}</definedName>
    <definedName name="wrn.Final._.Account." hidden="1">{#N/A,#N/A,FALSE,"Header P";#N/A,#N/A,FALSE,"Summary";#N/A,#N/A,FALSE,"CONTRACT WORKS";#N/A,#N/A,FALSE,"Variations";#N/A,#N/A,FALSE,"Dwk"}</definedName>
    <definedName name="wrn.FINAL._.ESTIMATE." localSheetId="2" hidden="1">{#N/A,#N/A,FALSE,"ProjInfo";#N/A,#N/A,FALSE,"Params";#N/A,#N/A,FALSE,"Q&amp;AE";#N/A,#N/A,FALSE,"CostCompE";#N/A,#N/A,FALSE,"SummaryE";#N/A,#N/A,FALSE,"PayItem";#N/A,#N/A,FALSE,"Detail";#N/A,#N/A,FALSE,"ReconE"}</definedName>
    <definedName name="wrn.FINAL._.ESTIMATE." hidden="1">{#N/A,#N/A,FALSE,"ProjInfo";#N/A,#N/A,FALSE,"Params";#N/A,#N/A,FALSE,"Q&amp;AE";#N/A,#N/A,FALSE,"CostCompE";#N/A,#N/A,FALSE,"SummaryE";#N/A,#N/A,FALSE,"PayItem";#N/A,#N/A,FALSE,"Detail";#N/A,#N/A,FALSE,"ReconE"}</definedName>
    <definedName name="wrn.FIZIB." localSheetId="2"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wrn.FIZIB."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WRN.FU" localSheetId="2" hidden="1">{"b",#N/A,FALSE,"B";"C 1",#N/A,FALSE,"C";"C 2",#N/A,FALSE,"C";"D 1",#N/A,FALSE,"D";"d 2",#N/A,FALSE,"D";"D 3",#N/A,FALSE,"D";"E",#N/A,FALSE,"E";"F 1",#N/A,FALSE,"F";"F 2",#N/A,FALSE,"F";"F 3",#N/A,FALSE,"F";"G 1",#N/A,FALSE,"G";"G 2",#N/A,FALSE,"G";"I 1",#N/A,FALSE,"I";"J 1",#N/A,FALSE,"J";"J 2",#N/A,FALSE,"J";"L",#N/A,FALSE,"L";"M 1",#N/A,FALSE,"M";"N",#N/A,FALSE,"N"}</definedName>
    <definedName name="WRN.FU" hidden="1">{"b",#N/A,FALSE,"B";"C 1",#N/A,FALSE,"C";"C 2",#N/A,FALSE,"C";"D 1",#N/A,FALSE,"D";"d 2",#N/A,FALSE,"D";"D 3",#N/A,FALSE,"D";"E",#N/A,FALSE,"E";"F 1",#N/A,FALSE,"F";"F 2",#N/A,FALSE,"F";"F 3",#N/A,FALSE,"F";"G 1",#N/A,FALSE,"G";"G 2",#N/A,FALSE,"G";"I 1",#N/A,FALSE,"I";"J 1",#N/A,FALSE,"J";"J 2",#N/A,FALSE,"J";"L",#N/A,FALSE,"L";"M 1",#N/A,FALSE,"M";"N",#N/A,FALSE,"N"}</definedName>
    <definedName name="wrn.Fuel._.oil._.option." localSheetId="2" hidden="1">{"FUEL OIL",#N/A,FALSE,"Option"}</definedName>
    <definedName name="wrn.Fuel._.oil._.option." hidden="1">{"FUEL OIL",#N/A,FALSE,"Option"}</definedName>
    <definedName name="wrn.full." localSheetId="2"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full._.reports" localSheetId="2" hidden="1">{#N/A,#N/A,TRUE,"Front";#N/A,#N/A,TRUE,"Simple Letter";#N/A,#N/A,TRUE,"Inside";#N/A,#N/A,TRUE,"Contents";#N/A,#N/A,TRUE,"Basis";#N/A,#N/A,TRUE,"Inclusions";#N/A,#N/A,TRUE,"Exclusions";#N/A,#N/A,TRUE,"Areas";#N/A,#N/A,TRUE,"Summary";#N/A,#N/A,TRUE,"Detail"}</definedName>
    <definedName name="wrn.full._.reports" hidden="1">{#N/A,#N/A,TRUE,"Front";#N/A,#N/A,TRUE,"Simple Letter";#N/A,#N/A,TRUE,"Inside";#N/A,#N/A,TRUE,"Contents";#N/A,#N/A,TRUE,"Basis";#N/A,#N/A,TRUE,"Inclusions";#N/A,#N/A,TRUE,"Exclusions";#N/A,#N/A,TRUE,"Areas";#N/A,#N/A,TRUE,"Summary";#N/A,#N/A,TRUE,"Detail"}</definedName>
    <definedName name="wrn.INDIRCOS." localSheetId="2" hidden="1">{#N/A,#N/A,TRUE,"FIELDOFF";#N/A,#N/A,TRUE,"SCAFF";#N/A,#N/A,TRUE,"CONSTEQP";#N/A,#N/A,TRUE,"FUELUBE";#N/A,#N/A,TRUE,"CONSUME";#N/A,#N/A,TRUE,"FIELDEXP";#N/A,#N/A,TRUE,"MANPLAN";#N/A,#N/A,TRUE,"EQPLAN"}</definedName>
    <definedName name="wrn.INDIRCOS." hidden="1">{#N/A,#N/A,TRUE,"FIELDOFF";#N/A,#N/A,TRUE,"SCAFF";#N/A,#N/A,TRUE,"CONSTEQP";#N/A,#N/A,TRUE,"FUELUBE";#N/A,#N/A,TRUE,"CONSUME";#N/A,#N/A,TRUE,"FIELDEXP";#N/A,#N/A,TRUE,"MANPLAN";#N/A,#N/A,TRUE,"EQPLAN"}</definedName>
    <definedName name="wrn.INSTRUMENT._.INDEX." localSheetId="2" hidden="1">{#N/A,#N/A,TRUE,"COVER";"INSTRUMENT INDEX",#N/A,TRUE,"Index"}</definedName>
    <definedName name="wrn.INSTRUMENT._.INDEX." hidden="1">{#N/A,#N/A,TRUE,"COVER";"INSTRUMENT INDEX",#N/A,TRUE,"Index"}</definedName>
    <definedName name="wrn.MAIN." localSheetId="2" hidden="1">{#N/A,#N/A,FALSE,"CF DXB";#N/A,#N/A,FALSE,"Mn St. Ind.";#N/A,#N/A,FALSE,"CF IND"}</definedName>
    <definedName name="wrn.MAIN." hidden="1">{#N/A,#N/A,FALSE,"CF DXB";#N/A,#N/A,FALSE,"Mn St. Ind.";#N/A,#N/A,FALSE,"CF IND"}</definedName>
    <definedName name="wrn.Manpower._.Details." localSheetId="2"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ILLARES." localSheetId="2" hidden="1">{#N/A,#N/A,TRUE,"RESUMEN ECON.";#N/A,#N/A,TRUE,"Costos de R.H.";#N/A,#N/A,TRUE,"COSTO HW";#N/A,#N/A,TRUE,"CUADROS";#N/A,#N/A,TRUE,"SCADA´s";#N/A,#N/A,TRUE,"PRECIOS EQUIPOS"}</definedName>
    <definedName name="wrn.MILLARES." hidden="1">{#N/A,#N/A,TRUE,"RESUMEN ECON.";#N/A,#N/A,TRUE,"Costos de R.H.";#N/A,#N/A,TRUE,"COSTO HW";#N/A,#N/A,TRUE,"CUADROS";#N/A,#N/A,TRUE,"SCADA´s";#N/A,#N/A,TRUE,"PRECIOS EQUIPOS"}</definedName>
    <definedName name="wrn.ON_COSTS." localSheetId="2" hidden="1">{#N/A,#N/A,FALSE,"Summary";#N/A,#N/A,FALSE,"Plant";#N/A,#N/A,FALSE,"Staff";#N/A,#N/A,FALSE,"Prelim";#N/A,#N/A,FALSE,"Others"}</definedName>
    <definedName name="wrn.ON_COSTS." hidden="1">{#N/A,#N/A,FALSE,"Summary";#N/A,#N/A,FALSE,"Plant";#N/A,#N/A,FALSE,"Staff";#N/A,#N/A,FALSE,"Prelim";#N/A,#N/A,FALSE,"Others"}</definedName>
    <definedName name="wrn.PAGE._.1." localSheetId="2" hidden="1">{#N/A,#N/A,FALSE,"PAGE 1"}</definedName>
    <definedName name="wrn.PAGE._.1." hidden="1">{#N/A,#N/A,FALSE,"PAGE 1"}</definedName>
    <definedName name="wrn.Payment." localSheetId="2" hidden="1">{#N/A,#N/A,FALSE,"certificate";#N/A,#N/A,FALSE,"contract works";#N/A,#N/A,FALSE,"variation";#N/A,#N/A,FALSE,"IP-Summary";#N/A,#N/A,FALSE,"status"}</definedName>
    <definedName name="wrn.Payment." hidden="1">{#N/A,#N/A,FALSE,"certificate";#N/A,#N/A,FALSE,"contract works";#N/A,#N/A,FALSE,"variation";#N/A,#N/A,FALSE,"IP-Summary";#N/A,#N/A,FALSE,"status"}</definedName>
    <definedName name="wrn.plan._.inicial." localSheetId="2" hidden="1">{#N/A,#N/A,FALSE,"Planificación"}</definedName>
    <definedName name="wrn.plan._.inicial." hidden="1">{#N/A,#N/A,FALSE,"Planificación"}</definedName>
    <definedName name="wrn.Print._.Output." localSheetId="2" hidden="1">{#N/A,#N/A,FALSE,"OUTPUT SHEET "}</definedName>
    <definedName name="wrn.Print._.Output." hidden="1">{#N/A,#N/A,FALSE,"OUTPUT SHEET "}</definedName>
    <definedName name="wrn.PRINT._.REPORT." localSheetId="2" hidden="1">{#N/A,#N/A,FALSE,"summary";#N/A,#N/A,FALSE,"preliminy";#N/A,#N/A,FALSE,"bill 3";#N/A,#N/A,FALSE,"bill 4"}</definedName>
    <definedName name="wrn.PRINT._.REPORT." hidden="1">{#N/A,#N/A,FALSE,"summary";#N/A,#N/A,FALSE,"preliminy";#N/A,#N/A,FALSE,"bill 3";#N/A,#N/A,FALSE,"bill 4"}</definedName>
    <definedName name="wrn.PrintAll." localSheetId="2" hidden="1">{#N/A,#N/A,FALSE,"Sheet1";#N/A,#N/A,FALSE,"Sheet2";#N/A,#N/A,FALSE,"Sheet3";#N/A,#N/A,FALSE,"Sheet4";#N/A,#N/A,FALSE,"Sheet5";#N/A,#N/A,FALSE,"Sheet6";#N/A,#N/A,FALSE,"Sheet7";#N/A,#N/A,FALSE,"Sheet8";#N/A,#N/A,FALSE,"Sheet9"}</definedName>
    <definedName name="wrn.PrintAll." hidden="1">{#N/A,#N/A,FALSE,"Sheet1";#N/A,#N/A,FALSE,"Sheet2";#N/A,#N/A,FALSE,"Sheet3";#N/A,#N/A,FALSE,"Sheet4";#N/A,#N/A,FALSE,"Sheet5";#N/A,#N/A,FALSE,"Sheet6";#N/A,#N/A,FALSE,"Sheet7";#N/A,#N/A,FALSE,"Sheet8";#N/A,#N/A,FALSE,"Sheet9"}</definedName>
    <definedName name="wrn.PrintallD." localSheetId="2"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2"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PrintCurr." localSheetId="2" hidden="1">{#N/A,#N/A,FALSE,"Sheet1";#N/A,#N/A,FALSE,"Sheet2";#N/A,#N/A,FALSE,"Sheet3"}</definedName>
    <definedName name="wrn.PrintCurr." hidden="1">{#N/A,#N/A,FALSE,"Sheet1";#N/A,#N/A,FALSE,"Sheet2";#N/A,#N/A,FALSE,"Sheet3"}</definedName>
    <definedName name="wrn.PrintPrev1." localSheetId="2" hidden="1">{#N/A,#N/A,FALSE,"Sheet4";#N/A,#N/A,FALSE,"Sheet5";#N/A,#N/A,FALSE,"Sheet6"}</definedName>
    <definedName name="wrn.PrintPrev1." hidden="1">{#N/A,#N/A,FALSE,"Sheet4";#N/A,#N/A,FALSE,"Sheet5";#N/A,#N/A,FALSE,"Sheet6"}</definedName>
    <definedName name="wrn.PrintPrev2." localSheetId="2" hidden="1">{#N/A,#N/A,FALSE,"Sheet7";#N/A,#N/A,FALSE,"Sheet8";#N/A,#N/A,FALSE,"Sheet9"}</definedName>
    <definedName name="wrn.PrintPrev2." hidden="1">{#N/A,#N/A,FALSE,"Sheet7";#N/A,#N/A,FALSE,"Sheet8";#N/A,#N/A,FALSE,"Sheet9"}</definedName>
    <definedName name="wrn.Redundant._.Equipment._.Option." localSheetId="2" hidden="1">{"pumps",#N/A,FALSE,"Option"}</definedName>
    <definedName name="wrn.Redundant._.Equipment._.Option." hidden="1">{"pumps",#N/A,FALSE,"Option"}</definedName>
    <definedName name="wrn.Residential." localSheetId="2" hidden="1">{"ECA Qtrs C",#N/A,TRUE,"ECA_Qtrs_C";"ECA Qtrs D",#N/A,TRUE,"ECA_Qtrs_D";"ECA Qtrs F",#N/A,TRUE,"ECA_Qtrs_F";"ECA Qtrs G",#N/A,TRUE,"ECA_Qtrs_G";"ECA SisterApt",#N/A,TRUE,"ECA_SisterApt";"ECA Nurses",#N/A,TRUE,"ECA_NursesHostel"}</definedName>
    <definedName name="wrn.Residential." hidden="1">{"ECA Qtrs C",#N/A,TRUE,"ECA_Qtrs_C";"ECA Qtrs D",#N/A,TRUE,"ECA_Qtrs_D";"ECA Qtrs F",#N/A,TRUE,"ECA_Qtrs_F";"ECA Qtrs G",#N/A,TRUE,"ECA_Qtrs_G";"ECA SisterApt",#N/A,TRUE,"ECA_SisterApt";"ECA Nurses",#N/A,TRUE,"ECA_NursesHostel"}</definedName>
    <definedName name="wrn.Ricobayo._.I." localSheetId="2" hidden="1">{#N/A,#N/A,FALSE,"RESUMEN ECON.";#N/A,#N/A,FALSE,"Costos de R.H.";#N/A,#N/A,FALSE,"COSTO HW";#N/A,#N/A,FALSE,"CUADROS";#N/A,#N/A,FALSE,"SCADA´s";#N/A,#N/A,FALSE,"PRECIOS EQUIPOS"}</definedName>
    <definedName name="wrn.Ricobayo._.I." hidden="1">{#N/A,#N/A,FALSE,"RESUMEN ECON.";#N/A,#N/A,FALSE,"Costos de R.H.";#N/A,#N/A,FALSE,"COSTO HW";#N/A,#N/A,FALSE,"CUADROS";#N/A,#N/A,FALSE,"SCADA´s";#N/A,#N/A,FALSE,"PRECIOS EQUIPOS"}</definedName>
    <definedName name="wrn.STG._.BLDG._.ENCLOSURE." localSheetId="2" hidden="1">{"turbine",#N/A,FALSE,"Option"}</definedName>
    <definedName name="wrn.STG._.BLDG._.ENCLOSURE." hidden="1">{"turbine",#N/A,FALSE,"Option"}</definedName>
    <definedName name="wrn.struckgi." localSheetId="2" hidden="1">{#N/A,#N/A,TRUE,"arnitower";#N/A,#N/A,TRUE,"arnigarage "}</definedName>
    <definedName name="wrn.struckgi." hidden="1">{#N/A,#N/A,TRUE,"arnitower";#N/A,#N/A,TRUE,"arnigarage "}</definedName>
    <definedName name="wrn.Summary." localSheetId="2" hidden="1">{#N/A,#N/A,TRUE,"summary"}</definedName>
    <definedName name="wrn.Summary." hidden="1">{#N/A,#N/A,TRUE,"summary"}</definedName>
    <definedName name="wrn.test." localSheetId="2" hidden="1">{#N/A,#N/A,FALSE,"Motor List"}</definedName>
    <definedName name="wrn.test." hidden="1">{#N/A,#N/A,FALSE,"Motor List"}</definedName>
    <definedName name="wrn.Warrington._.Widnes._.QS._.Costs." localSheetId="2" hidden="1">{#N/A,#N/A,TRUE,"Cover";#N/A,#N/A,TRUE,"Conts";#N/A,#N/A,TRUE,"VOS";#N/A,#N/A,TRUE,"Warrington";#N/A,#N/A,TRUE,"Widnes"}</definedName>
    <definedName name="wrn.Warrington._.Widnes._.QS._.Costs." hidden="1">{#N/A,#N/A,TRUE,"Cover";#N/A,#N/A,TRUE,"Conts";#N/A,#N/A,TRUE,"VOS";#N/A,#N/A,TRUE,"Warrington";#N/A,#N/A,TRUE,"Widnes"}</definedName>
    <definedName name="wrn.WEEKLY." localSheetId="2" hidden="1">{#N/A,#N/A,FALSE,"WRSUMMARY";#N/A,#N/A,FALSE,"ANNEX-1";#N/A,#N/A,FALSE,"ANNEX-2";#N/A,#N/A,FALSE,"ANNEX-3";#N/A,#N/A,FALSE,"WORKING"}</definedName>
    <definedName name="wrn.WEEKLY." hidden="1">{#N/A,#N/A,FALSE,"WRSUMMARY";#N/A,#N/A,FALSE,"ANNEX-1";#N/A,#N/A,FALSE,"ANNEX-2";#N/A,#N/A,FALSE,"ANNEX-3";#N/A,#N/A,FALSE,"WORKING"}</definedName>
    <definedName name="wrn.WHOUSE._.CT." localSheetId="2" hidden="1">{"WESTINGHOUSE",#N/A,FALSE,"Option"}</definedName>
    <definedName name="wrn.WHOUSE._.CT." hidden="1">{"WESTINGHOUSE",#N/A,FALSE,"Option"}</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견적." localSheetId="2" hidden="1">{#N/A,#N/A,FALSE,"Sheet1";#N/A,#N/A,FALSE,"Sheet2";#N/A,#N/A,FALSE,"TAB96-1"}</definedName>
    <definedName name="wrn.견적." hidden="1">{#N/A,#N/A,FALSE,"Sheet1";#N/A,#N/A,FALSE,"Sheet2";#N/A,#N/A,FALSE,"TAB96-1"}</definedName>
    <definedName name="wrn.골재소요량." localSheetId="2" hidden="1">{#N/A,#N/A,FALSE,"골재소요량";#N/A,#N/A,FALSE,"골재소요량"}</definedName>
    <definedName name="wrn.골재소요량." hidden="1">{#N/A,#N/A,FALSE,"골재소요량";#N/A,#N/A,FALSE,"골재소요량"}</definedName>
    <definedName name="wrn.교대." localSheetId="2" hidden="1">{#N/A,#N/A,FALSE,"type1";#N/A,#N/A,FALSE,"지지력";#N/A,#N/A,FALSE,"PILE계산";#N/A,#N/A,FALSE,"PILE ";#N/A,#N/A,FALSE,"철근량";#N/A,#N/A,FALSE,"균열검토";#N/A,#N/A,FALSE,"날개벽";#N/A,#N/A,FALSE,"주철근조립도";#N/A,#N/A,FALSE,"교좌"}</definedName>
    <definedName name="wrn.교대." hidden="1">{#N/A,#N/A,FALSE,"type1";#N/A,#N/A,FALSE,"지지력";#N/A,#N/A,FALSE,"PILE계산";#N/A,#N/A,FALSE,"PILE ";#N/A,#N/A,FALSE,"철근량";#N/A,#N/A,FALSE,"균열검토";#N/A,#N/A,FALSE,"날개벽";#N/A,#N/A,FALSE,"주철근조립도";#N/A,#N/A,FALSE,"교좌"}</definedName>
    <definedName name="wrn.교육청." localSheetId="2" hidden="1">{#N/A,#N/A,FALSE,"전력간선"}</definedName>
    <definedName name="wrn.교육청." hidden="1">{#N/A,#N/A,FALSE,"전력간선"}</definedName>
    <definedName name="wrn.구조2." localSheetId="2" hidden="1">{#N/A,#N/A,FALSE,"구조2"}</definedName>
    <definedName name="wrn.구조2." hidden="1">{#N/A,#N/A,FALSE,"구조2"}</definedName>
    <definedName name="wrn.단가표지." localSheetId="2" hidden="1">{#N/A,#N/A,FALSE,"단가표지"}</definedName>
    <definedName name="wrn.단가표지." hidden="1">{#N/A,#N/A,FALSE,"단가표지"}</definedName>
    <definedName name="wrn.배수1." localSheetId="2" hidden="1">{#N/A,#N/A,FALSE,"배수1"}</definedName>
    <definedName name="wrn.배수1." hidden="1">{#N/A,#N/A,FALSE,"배수1"}</definedName>
    <definedName name="wrn.배수2." localSheetId="2" hidden="1">{#N/A,#N/A,FALSE,"배수2"}</definedName>
    <definedName name="wrn.배수2." hidden="1">{#N/A,#N/A,FALSE,"배수2"}</definedName>
    <definedName name="wrn.부대1." localSheetId="2" hidden="1">{#N/A,#N/A,FALSE,"부대1"}</definedName>
    <definedName name="wrn.부대1." hidden="1">{#N/A,#N/A,FALSE,"부대1"}</definedName>
    <definedName name="wrn.부대2." localSheetId="2" hidden="1">{#N/A,#N/A,FALSE,"부대2"}</definedName>
    <definedName name="wrn.부대2." hidden="1">{#N/A,#N/A,FALSE,"부대2"}</definedName>
    <definedName name="wrn.속도." localSheetId="2" hidden="1">{#N/A,#N/A,FALSE,"속도"}</definedName>
    <definedName name="wrn.속도." hidden="1">{#N/A,#N/A,FALSE,"속도"}</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운반시간." localSheetId="2" hidden="1">{#N/A,#N/A,FALSE,"운반시간"}</definedName>
    <definedName name="wrn.운반시간." hidden="1">{#N/A,#N/A,FALSE,"운반시간"}</definedName>
    <definedName name="wrn.이정표." localSheetId="2" hidden="1">{#N/A,#N/A,FALSE,"이정표"}</definedName>
    <definedName name="wrn.이정표." hidden="1">{#N/A,#N/A,FALSE,"이정표"}</definedName>
    <definedName name="wrn.조골재." localSheetId="2" hidden="1">{#N/A,#N/A,FALSE,"조골재"}</definedName>
    <definedName name="wrn.조골재." hidden="1">{#N/A,#N/A,FALSE,"조골재"}</definedName>
    <definedName name="wrn.토공1." localSheetId="2" hidden="1">{#N/A,#N/A,FALSE,"구조1"}</definedName>
    <definedName name="wrn.토공1." hidden="1">{#N/A,#N/A,FALSE,"구조1"}</definedName>
    <definedName name="wrn.토공2." localSheetId="2" hidden="1">{#N/A,#N/A,FALSE,"토공2"}</definedName>
    <definedName name="wrn.토공2." hidden="1">{#N/A,#N/A,FALSE,"토공2"}</definedName>
    <definedName name="wrn.포장1." localSheetId="2" hidden="1">{#N/A,#N/A,FALSE,"포장1";#N/A,#N/A,FALSE,"포장1"}</definedName>
    <definedName name="wrn.포장1." hidden="1">{#N/A,#N/A,FALSE,"포장1";#N/A,#N/A,FALSE,"포장1"}</definedName>
    <definedName name="wrn.포장2." localSheetId="2" hidden="1">{#N/A,#N/A,FALSE,"포장2"}</definedName>
    <definedName name="wrn.포장2." hidden="1">{#N/A,#N/A,FALSE,"포장2"}</definedName>
    <definedName name="wrn.표지목차." localSheetId="2" hidden="1">{#N/A,#N/A,FALSE,"표지목차"}</definedName>
    <definedName name="wrn.표지목차." hidden="1">{#N/A,#N/A,FALSE,"표지목차"}</definedName>
    <definedName name="wrn.현장._.NCR._.분석." localSheetId="2" hidden="1">{#N/A,#N/A,FALSE,"현장 NCR 분석";#N/A,#N/A,FALSE,"현장품질감사";#N/A,#N/A,FALSE,"현장품질감사"}</definedName>
    <definedName name="wrn.현장._.NCR._.분석." hidden="1">{#N/A,#N/A,FALSE,"현장 NCR 분석";#N/A,#N/A,FALSE,"현장품질감사";#N/A,#N/A,FALSE,"현장품질감사"}</definedName>
    <definedName name="wrn.혼합골재." localSheetId="2" hidden="1">{#N/A,#N/A,FALSE,"혼합골재"}</definedName>
    <definedName name="wrn.혼합골재." hidden="1">{#N/A,#N/A,FALSE,"혼합골재"}</definedName>
    <definedName name="wrnfulla" localSheetId="2" hidden="1">{#N/A,#N/A,TRUE,"Front";#N/A,#N/A,TRUE,"Simple Letter";#N/A,#N/A,TRUE,"Inside";#N/A,#N/A,TRUE,"Contents";#N/A,#N/A,TRUE,"Basis";#N/A,#N/A,TRUE,"Inclusions";#N/A,#N/A,TRUE,"Exclusions";#N/A,#N/A,TRUE,"Areas";#N/A,#N/A,TRUE,"Summary";#N/A,#N/A,TRUE,"Detail"}</definedName>
    <definedName name="wrnfulla" hidden="1">{#N/A,#N/A,TRUE,"Front";#N/A,#N/A,TRUE,"Simple Letter";#N/A,#N/A,TRUE,"Inside";#N/A,#N/A,TRUE,"Contents";#N/A,#N/A,TRUE,"Basis";#N/A,#N/A,TRUE,"Inclusions";#N/A,#N/A,TRUE,"Exclusions";#N/A,#N/A,TRUE,"Areas";#N/A,#N/A,TRUE,"Summary";#N/A,#N/A,TRUE,"Detail"}</definedName>
    <definedName name="wrrwerwrew" localSheetId="2" hidden="1">{#N/A,#N/A,TRUE,"Cover";#N/A,#N/A,TRUE,"Conts";#N/A,#N/A,TRUE,"VOS";#N/A,#N/A,TRUE,"Warrington";#N/A,#N/A,TRUE,"Widnes"}</definedName>
    <definedName name="wrrwerwrew" hidden="1">{#N/A,#N/A,TRUE,"Cover";#N/A,#N/A,TRUE,"Conts";#N/A,#N/A,TRUE,"VOS";#N/A,#N/A,TRUE,"Warrington";#N/A,#N/A,TRUE,"Widnes"}</definedName>
    <definedName name="wrw" localSheetId="2" hidden="1">{"'Break down'!$A$4"}</definedName>
    <definedName name="wrw" hidden="1">{"'Break down'!$A$4"}</definedName>
    <definedName name="wryuwyrututwys" localSheetId="2" hidden="1">{#N/A,#N/A,TRUE,"Cover";#N/A,#N/A,TRUE,"Conts";#N/A,#N/A,TRUE,"VOS";#N/A,#N/A,TRUE,"Warrington";#N/A,#N/A,TRUE,"Widnes"}</definedName>
    <definedName name="wryuwyrututwys" hidden="1">{#N/A,#N/A,TRUE,"Cover";#N/A,#N/A,TRUE,"Conts";#N/A,#N/A,TRUE,"VOS";#N/A,#N/A,TRUE,"Warrington";#N/A,#N/A,TRUE,"Widnes"}</definedName>
    <definedName name="WSS" localSheetId="2" hidden="1">{#N/A,#N/A,FALSE,"MARCH"}</definedName>
    <definedName name="WSS" hidden="1">{#N/A,#N/A,FALSE,"MARCH"}</definedName>
    <definedName name="WT" localSheetId="2" hidden="1">{#N/A,#N/A,TRUE,"Cover";#N/A,#N/A,TRUE,"Conts";#N/A,#N/A,TRUE,"VOS";#N/A,#N/A,TRUE,"Warrington";#N/A,#N/A,TRUE,"Widnes"}</definedName>
    <definedName name="WT" hidden="1">{#N/A,#N/A,TRUE,"Cover";#N/A,#N/A,TRUE,"Conts";#N/A,#N/A,TRUE,"VOS";#N/A,#N/A,TRUE,"Warrington";#N/A,#N/A,TRUE,"Widnes"}</definedName>
    <definedName name="wtey" localSheetId="2" hidden="1">{#N/A,#N/A,TRUE,"Cover";#N/A,#N/A,TRUE,"Conts";#N/A,#N/A,TRUE,"VOS";#N/A,#N/A,TRUE,"Warrington";#N/A,#N/A,TRUE,"Widnes"}</definedName>
    <definedName name="wtey" hidden="1">{#N/A,#N/A,TRUE,"Cover";#N/A,#N/A,TRUE,"Conts";#N/A,#N/A,TRUE,"VOS";#N/A,#N/A,TRUE,"Warrington";#N/A,#N/A,TRUE,"Widnes"}</definedName>
    <definedName name="wtrwt" localSheetId="2" hidden="1">{#N/A,#N/A,TRUE,"Cover";#N/A,#N/A,TRUE,"Conts";#N/A,#N/A,TRUE,"VOS";#N/A,#N/A,TRUE,"Warrington";#N/A,#N/A,TRUE,"Widnes"}</definedName>
    <definedName name="wtrwt" hidden="1">{#N/A,#N/A,TRUE,"Cover";#N/A,#N/A,TRUE,"Conts";#N/A,#N/A,TRUE,"VOS";#N/A,#N/A,TRUE,"Warrington";#N/A,#N/A,TRUE,"Widnes"}</definedName>
    <definedName name="wtrywryt" localSheetId="2" hidden="1">{#N/A,#N/A,TRUE,"Cover";#N/A,#N/A,TRUE,"Conts";#N/A,#N/A,TRUE,"VOS";#N/A,#N/A,TRUE,"Warrington";#N/A,#N/A,TRUE,"Widnes"}</definedName>
    <definedName name="wtrywryt" hidden="1">{#N/A,#N/A,TRUE,"Cover";#N/A,#N/A,TRUE,"Conts";#N/A,#N/A,TRUE,"VOS";#N/A,#N/A,TRUE,"Warrington";#N/A,#N/A,TRUE,"Widnes"}</definedName>
    <definedName name="wtwt" localSheetId="2" hidden="1">{#N/A,#N/A,TRUE,"Cover";#N/A,#N/A,TRUE,"Conts";#N/A,#N/A,TRUE,"VOS";#N/A,#N/A,TRUE,"Warrington";#N/A,#N/A,TRUE,"Widnes"}</definedName>
    <definedName name="wtwt" hidden="1">{#N/A,#N/A,TRUE,"Cover";#N/A,#N/A,TRUE,"Conts";#N/A,#N/A,TRUE,"VOS";#N/A,#N/A,TRUE,"Warrington";#N/A,#N/A,TRUE,"Widnes"}</definedName>
    <definedName name="wtwy" localSheetId="2" hidden="1">{#N/A,#N/A,TRUE,"Cover";#N/A,#N/A,TRUE,"Conts";#N/A,#N/A,TRUE,"VOS";#N/A,#N/A,TRUE,"Warrington";#N/A,#N/A,TRUE,"Widnes"}</definedName>
    <definedName name="wtwy" hidden="1">{#N/A,#N/A,TRUE,"Cover";#N/A,#N/A,TRUE,"Conts";#N/A,#N/A,TRUE,"VOS";#N/A,#N/A,TRUE,"Warrington";#N/A,#N/A,TRUE,"Widnes"}</definedName>
    <definedName name="ww" localSheetId="2" hidden="1">{#N/A,#N/A,TRUE,"RESUMEN ECON.";#N/A,#N/A,TRUE,"Costos de R.H.";#N/A,#N/A,TRUE,"COSTO HW";#N/A,#N/A,TRUE,"CUADROS";#N/A,#N/A,TRUE,"SCADA´s";#N/A,#N/A,TRUE,"PRECIOS EQUIPOS"}</definedName>
    <definedName name="ww" hidden="1">{#N/A,#N/A,TRUE,"RESUMEN ECON.";#N/A,#N/A,TRUE,"Costos de R.H.";#N/A,#N/A,TRUE,"COSTO HW";#N/A,#N/A,TRUE,"CUADROS";#N/A,#N/A,TRUE,"SCADA´s";#N/A,#N/A,TRUE,"PRECIOS EQUIPOS"}</definedName>
    <definedName name="wwewrt" localSheetId="2" hidden="1">{#N/A,#N/A,FALSE,"RESUMEN ECON.";#N/A,#N/A,FALSE,"Costos de R.H.";#N/A,#N/A,FALSE,"COSTO HW";#N/A,#N/A,FALSE,"CUADROS";#N/A,#N/A,FALSE,"SCADA´s";#N/A,#N/A,FALSE,"PRECIOS EQUIPOS"}</definedName>
    <definedName name="wwewrt" hidden="1">{#N/A,#N/A,FALSE,"RESUMEN ECON.";#N/A,#N/A,FALSE,"Costos de R.H.";#N/A,#N/A,FALSE,"COSTO HW";#N/A,#N/A,FALSE,"CUADROS";#N/A,#N/A,FALSE,"SCADA´s";#N/A,#N/A,FALSE,"PRECIOS EQUIPOS"}</definedName>
    <definedName name="wwr" localSheetId="2" hidden="1">{"'Break down'!$A$4"}</definedName>
    <definedName name="wwr" hidden="1">{"'Break down'!$A$4"}</definedName>
    <definedName name="WWW" localSheetId="2" hidden="1">{#N/A,#N/A,FALSE,"CCTV"}</definedName>
    <definedName name="www" hidden="1">{#N/A,#N/A,TRUE,"Cover";#N/A,#N/A,TRUE,"Conts";#N/A,#N/A,TRUE,"VOS";#N/A,#N/A,TRUE,"Warrington";#N/A,#N/A,TRUE,"Widnes"}</definedName>
    <definedName name="wwwww" localSheetId="2" hidden="1">{#N/A,#N/A,TRUE,"Cover";#N/A,#N/A,TRUE,"Conts";#N/A,#N/A,TRUE,"VOS";#N/A,#N/A,TRUE,"Warrington";#N/A,#N/A,TRUE,"Widnes"}</definedName>
    <definedName name="wwwww" hidden="1">{#N/A,#N/A,TRUE,"Cover";#N/A,#N/A,TRUE,"Conts";#N/A,#N/A,TRUE,"VOS";#N/A,#N/A,TRUE,"Warrington";#N/A,#N/A,TRUE,"Widnes"}</definedName>
    <definedName name="wwwwwwwwwwwwwwww" localSheetId="2" hidden="1">{#N/A,#N/A,FALSE,"SumD";#N/A,#N/A,FALSE,"ElecD";#N/A,#N/A,FALSE,"MechD";#N/A,#N/A,FALSE,"GeotD";#N/A,#N/A,FALSE,"PrcsD";#N/A,#N/A,FALSE,"TunnD";#N/A,#N/A,FALSE,"CivlD";#N/A,#N/A,FALSE,"NtwkD";#N/A,#N/A,FALSE,"EstgD";#N/A,#N/A,FALSE,"PEngD"}</definedName>
    <definedName name="wwwwwwwwwwwwwwww" hidden="1">{#N/A,#N/A,FALSE,"SumD";#N/A,#N/A,FALSE,"ElecD";#N/A,#N/A,FALSE,"MechD";#N/A,#N/A,FALSE,"GeotD";#N/A,#N/A,FALSE,"PrcsD";#N/A,#N/A,FALSE,"TunnD";#N/A,#N/A,FALSE,"CivlD";#N/A,#N/A,FALSE,"NtwkD";#N/A,#N/A,FALSE,"EstgD";#N/A,#N/A,FALSE,"PEngD"}</definedName>
    <definedName name="wy7u7y" localSheetId="2" hidden="1">{#N/A,#N/A,TRUE,"Cover";#N/A,#N/A,TRUE,"Conts";#N/A,#N/A,TRUE,"VOS";#N/A,#N/A,TRUE,"Warrington";#N/A,#N/A,TRUE,"Widnes"}</definedName>
    <definedName name="wy7u7y" hidden="1">{#N/A,#N/A,TRUE,"Cover";#N/A,#N/A,TRUE,"Conts";#N/A,#N/A,TRUE,"VOS";#N/A,#N/A,TRUE,"Warrington";#N/A,#N/A,TRUE,"Widnes"}</definedName>
    <definedName name="xc" localSheetId="2" hidden="1">{#N/A,#N/A,FALSE,"SumD";#N/A,#N/A,FALSE,"ElecD";#N/A,#N/A,FALSE,"MechD";#N/A,#N/A,FALSE,"GeotD";#N/A,#N/A,FALSE,"PrcsD";#N/A,#N/A,FALSE,"TunnD";#N/A,#N/A,FALSE,"CivlD";#N/A,#N/A,FALSE,"NtwkD";#N/A,#N/A,FALSE,"EstgD";#N/A,#N/A,FALSE,"PEngD"}</definedName>
    <definedName name="xc" hidden="1">{#N/A,#N/A,FALSE,"SumD";#N/A,#N/A,FALSE,"ElecD";#N/A,#N/A,FALSE,"MechD";#N/A,#N/A,FALSE,"GeotD";#N/A,#N/A,FALSE,"PrcsD";#N/A,#N/A,FALSE,"TunnD";#N/A,#N/A,FALSE,"CivlD";#N/A,#N/A,FALSE,"NtwkD";#N/A,#N/A,FALSE,"EstgD";#N/A,#N/A,FALSE,"PEngD"}</definedName>
    <definedName name="xfsg" localSheetId="2" hidden="1">{#N/A,#N/A,TRUE,"Front";#N/A,#N/A,TRUE,"Simple Letter";#N/A,#N/A,TRUE,"Inside";#N/A,#N/A,TRUE,"Contents";#N/A,#N/A,TRUE,"Basis";#N/A,#N/A,TRUE,"Inclusions";#N/A,#N/A,TRUE,"Exclusions";#N/A,#N/A,TRUE,"Areas";#N/A,#N/A,TRUE,"Summary";#N/A,#N/A,TRUE,"Detail"}</definedName>
    <definedName name="xfsg" hidden="1">{#N/A,#N/A,TRUE,"Front";#N/A,#N/A,TRUE,"Simple Letter";#N/A,#N/A,TRUE,"Inside";#N/A,#N/A,TRUE,"Contents";#N/A,#N/A,TRUE,"Basis";#N/A,#N/A,TRUE,"Inclusions";#N/A,#N/A,TRUE,"Exclusions";#N/A,#N/A,TRUE,"Areas";#N/A,#N/A,TRUE,"Summary";#N/A,#N/A,TRUE,"Detail"}</definedName>
    <definedName name="XLK" localSheetId="2" hidden="1">{"'Break down'!$A$4"}</definedName>
    <definedName name="XLK" hidden="1">{"'Break down'!$A$4"}</definedName>
    <definedName name="xls." localSheetId="2" hidden="1">{"'Break down'!$A$4"}</definedName>
    <definedName name="xls." hidden="1">{"'Break down'!$A$4"}</definedName>
    <definedName name="xls1" localSheetId="2" hidden="1">{"'Break down'!$A$4"}</definedName>
    <definedName name="xls1" hidden="1">{"'Break down'!$A$4"}</definedName>
    <definedName name="xls2" localSheetId="2" hidden="1">{"'Break down'!$A$4"}</definedName>
    <definedName name="xls2" hidden="1">{"'Break down'!$A$4"}</definedName>
    <definedName name="XLSS" localSheetId="2" hidden="1">{"'Break down'!$A$4"}</definedName>
    <definedName name="XLSS" hidden="1">{"'Break down'!$A$4"}</definedName>
    <definedName name="xlst" localSheetId="2" hidden="1">{"'Break down'!$A$4"}</definedName>
    <definedName name="xlst" hidden="1">{"'Break down'!$A$4"}</definedName>
    <definedName name="XREF_COLUMN_1" hidden="1">#REF!</definedName>
    <definedName name="XREF_COLUMN_2" hidden="1">#REF!</definedName>
    <definedName name="XREF_COLUMN_3" hidden="1">#REF!</definedName>
    <definedName name="XREF_COLUMN_4" hidden="1">#REF!</definedName>
    <definedName name="XRefActiveRow" hidden="1">#REF!</definedName>
    <definedName name="XRefColumnsCount" hidden="1">4</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5" hidden="1">#REF!</definedName>
    <definedName name="XRefCopy15Row" hidden="1">#REF!</definedName>
    <definedName name="XRefCopy16"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0" hidden="1">#REF!</definedName>
    <definedName name="XRefCopy20Row" hidden="1">#REF!</definedName>
    <definedName name="XRefCopy21"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9" hidden="1">#REF!</definedName>
    <definedName name="XRefCopy29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9" hidden="1">#REF!</definedName>
    <definedName name="XRefCopyRangeCount" hidden="1">31</definedName>
    <definedName name="XRefPaste1" hidden="1">#REF!</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5"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18</definedName>
    <definedName name="xV" localSheetId="2" hidden="1">{#N/A,#N/A,TRUE,"Front";#N/A,#N/A,TRUE,"Simple Letter";#N/A,#N/A,TRUE,"Inside";#N/A,#N/A,TRUE,"Contents";#N/A,#N/A,TRUE,"Basis";#N/A,#N/A,TRUE,"Inclusions";#N/A,#N/A,TRUE,"Exclusions";#N/A,#N/A,TRUE,"Areas";#N/A,#N/A,TRUE,"Summary";#N/A,#N/A,TRUE,"Detail"}</definedName>
    <definedName name="xV" hidden="1">{#N/A,#N/A,TRUE,"Front";#N/A,#N/A,TRUE,"Simple Letter";#N/A,#N/A,TRUE,"Inside";#N/A,#N/A,TRUE,"Contents";#N/A,#N/A,TRUE,"Basis";#N/A,#N/A,TRUE,"Inclusions";#N/A,#N/A,TRUE,"Exclusions";#N/A,#N/A,TRUE,"Areas";#N/A,#N/A,TRUE,"Summary";#N/A,#N/A,TRUE,"Detail"}</definedName>
    <definedName name="xx" localSheetId="2" hidden="1">{#N/A,#N/A,FALSE,"RESUMEN ECON.";#N/A,#N/A,FALSE,"Costos de R.H.";#N/A,#N/A,FALSE,"COSTO HW";#N/A,#N/A,FALSE,"CUADROS";#N/A,#N/A,FALSE,"SCADA´s";#N/A,#N/A,FALSE,"PRECIOS EQUIPOS"}</definedName>
    <definedName name="xx" hidden="1">{#N/A,#N/A,FALSE,"SumD";#N/A,#N/A,FALSE,"ElecD";#N/A,#N/A,FALSE,"MechD";#N/A,#N/A,FALSE,"GeotD";#N/A,#N/A,FALSE,"PrcsD";#N/A,#N/A,FALSE,"TunnD";#N/A,#N/A,FALSE,"CivlD";#N/A,#N/A,FALSE,"NtwkD";#N/A,#N/A,FALSE,"EstgD";#N/A,#N/A,FALSE,"PEngD"}</definedName>
    <definedName name="xxxx" localSheetId="2" hidden="1">{#N/A,#N/A,FALSE,"Header P";#N/A,#N/A,FALSE,"Summary";#N/A,#N/A,FALSE,"CONTRACT WORKS";#N/A,#N/A,FALSE,"Variations";#N/A,#N/A,FALSE,"Dwk"}</definedName>
    <definedName name="xxxx" hidden="1">{#N/A,#N/A,FALSE,"Header P";#N/A,#N/A,FALSE,"Summary";#N/A,#N/A,FALSE,"CONTRACT WORKS";#N/A,#N/A,FALSE,"Variations";#N/A,#N/A,FALSE,"Dwk"}</definedName>
    <definedName name="xyz" localSheetId="2" hidden="1">{"'Break down'!$A$4"}</definedName>
    <definedName name="xyz" hidden="1">{"'Break down'!$A$4"}</definedName>
    <definedName name="y0o" hidden="1">#REF!</definedName>
    <definedName name="yas" localSheetId="2" hidden="1">#REF!</definedName>
    <definedName name="yas" hidden="1">#REF!</definedName>
    <definedName name="yasin" localSheetId="2" hidden="1">#REF!</definedName>
    <definedName name="yasin" hidden="1">#REF!</definedName>
    <definedName name="yg" localSheetId="2" hidden="1">{"'장비'!$A$3:$M$12"}</definedName>
    <definedName name="yg" hidden="1">{"'장비'!$A$3:$M$12"}</definedName>
    <definedName name="ygdhddr" localSheetId="2" hidden="1">{#N/A,#N/A,TRUE,"Front";#N/A,#N/A,TRUE,"Simple Letter";#N/A,#N/A,TRUE,"Inside";#N/A,#N/A,TRUE,"Contents";#N/A,#N/A,TRUE,"Basis";#N/A,#N/A,TRUE,"Inclusions";#N/A,#N/A,TRUE,"Exclusions";#N/A,#N/A,TRUE,"Areas";#N/A,#N/A,TRUE,"Summary";#N/A,#N/A,TRUE,"Detail"}</definedName>
    <definedName name="ygdhddr" hidden="1">{#N/A,#N/A,TRUE,"Front";#N/A,#N/A,TRUE,"Simple Letter";#N/A,#N/A,TRUE,"Inside";#N/A,#N/A,TRUE,"Contents";#N/A,#N/A,TRUE,"Basis";#N/A,#N/A,TRUE,"Inclusions";#N/A,#N/A,TRUE,"Exclusions";#N/A,#N/A,TRUE,"Areas";#N/A,#N/A,TRUE,"Summary";#N/A,#N/A,TRUE,"Detail"}</definedName>
    <definedName name="yhrsh" localSheetId="2" hidden="1">{#N/A,#N/A,TRUE,"Cover";#N/A,#N/A,TRUE,"Conts";#N/A,#N/A,TRUE,"VOS";#N/A,#N/A,TRUE,"Warrington";#N/A,#N/A,TRUE,"Widnes"}</definedName>
    <definedName name="yhrsh" hidden="1">{#N/A,#N/A,TRUE,"Cover";#N/A,#N/A,TRUE,"Conts";#N/A,#N/A,TRUE,"VOS";#N/A,#N/A,TRUE,"Warrington";#N/A,#N/A,TRUE,"Widnes"}</definedName>
    <definedName name="ykhljkdggzsf" localSheetId="2" hidden="1">{#N/A,#N/A,TRUE,"Cover";#N/A,#N/A,TRUE,"Conts";#N/A,#N/A,TRUE,"VOS";#N/A,#N/A,TRUE,"Warrington";#N/A,#N/A,TRUE,"Widnes"}</definedName>
    <definedName name="ykhljkdggzsf" hidden="1">{#N/A,#N/A,TRUE,"Cover";#N/A,#N/A,TRUE,"Conts";#N/A,#N/A,TRUE,"VOS";#N/A,#N/A,TRUE,"Warrington";#N/A,#N/A,TRUE,"Widnes"}</definedName>
    <definedName name="ykkllylulf" localSheetId="2" hidden="1">{#N/A,#N/A,TRUE,"Cover";#N/A,#N/A,TRUE,"Conts";#N/A,#N/A,TRUE,"VOS";#N/A,#N/A,TRUE,"Warrington";#N/A,#N/A,TRUE,"Widnes"}</definedName>
    <definedName name="ykkllylulf" hidden="1">{#N/A,#N/A,TRUE,"Cover";#N/A,#N/A,TRUE,"Conts";#N/A,#N/A,TRUE,"VOS";#N/A,#N/A,TRUE,"Warrington";#N/A,#N/A,TRUE,"Widnes"}</definedName>
    <definedName name="yrdtytyt" localSheetId="2" hidden="1">{#N/A,#N/A,FALSE,"CCTV"}</definedName>
    <definedName name="yrdtytyt" hidden="1">{#N/A,#N/A,FALSE,"CCTV"}</definedName>
    <definedName name="yrtyet" localSheetId="2" hidden="1">{#N/A,#N/A,TRUE,"Cover";#N/A,#N/A,TRUE,"Conts";#N/A,#N/A,TRUE,"VOS";#N/A,#N/A,TRUE,"Warrington";#N/A,#N/A,TRUE,"Widnes"}</definedName>
    <definedName name="yrtyet" hidden="1">{#N/A,#N/A,TRUE,"Cover";#N/A,#N/A,TRUE,"Conts";#N/A,#N/A,TRUE,"VOS";#N/A,#N/A,TRUE,"Warrington";#N/A,#N/A,TRUE,"Widnes"}</definedName>
    <definedName name="yry" localSheetId="2" hidden="1">{#N/A,#N/A,TRUE,"Cover";#N/A,#N/A,TRUE,"Conts";#N/A,#N/A,TRUE,"VOS";#N/A,#N/A,TRUE,"Warrington";#N/A,#N/A,TRUE,"Widnes"}</definedName>
    <definedName name="yry" hidden="1">{#N/A,#N/A,TRUE,"Cover";#N/A,#N/A,TRUE,"Conts";#N/A,#N/A,TRUE,"VOS";#N/A,#N/A,TRUE,"Warrington";#N/A,#N/A,TRUE,"Widnes"}</definedName>
    <definedName name="yryy" localSheetId="2" hidden="1">{#N/A,#N/A,TRUE,"Front";#N/A,#N/A,TRUE,"Simple Letter";#N/A,#N/A,TRUE,"Inside";#N/A,#N/A,TRUE,"Contents";#N/A,#N/A,TRUE,"Basis";#N/A,#N/A,TRUE,"Inclusions";#N/A,#N/A,TRUE,"Exclusions";#N/A,#N/A,TRUE,"Areas";#N/A,#N/A,TRUE,"Summary";#N/A,#N/A,TRUE,"Detail"}</definedName>
    <definedName name="yryy" hidden="1">{#N/A,#N/A,TRUE,"Front";#N/A,#N/A,TRUE,"Simple Letter";#N/A,#N/A,TRUE,"Inside";#N/A,#N/A,TRUE,"Contents";#N/A,#N/A,TRUE,"Basis";#N/A,#N/A,TRUE,"Inclusions";#N/A,#N/A,TRUE,"Exclusions";#N/A,#N/A,TRUE,"Areas";#N/A,#N/A,TRUE,"Summary";#N/A,#N/A,TRUE,"Detail"}</definedName>
    <definedName name="yt" localSheetId="2" hidden="1">{#N/A,#N/A,TRUE,"Cover";#N/A,#N/A,TRUE,"Conts";#N/A,#N/A,TRUE,"VOS";#N/A,#N/A,TRUE,"Warrington";#N/A,#N/A,TRUE,"Widnes"}</definedName>
    <definedName name="yt" hidden="1">{#N/A,#N/A,TRUE,"Cover";#N/A,#N/A,TRUE,"Conts";#N/A,#N/A,TRUE,"VOS";#N/A,#N/A,TRUE,"Warrington";#N/A,#N/A,TRUE,"Widnes"}</definedName>
    <definedName name="ytjtyjre" localSheetId="2" hidden="1">{#N/A,#N/A,TRUE,"Cover";#N/A,#N/A,TRUE,"Conts";#N/A,#N/A,TRUE,"VOS";#N/A,#N/A,TRUE,"Warrington";#N/A,#N/A,TRUE,"Widnes"}</definedName>
    <definedName name="ytjtyjre" hidden="1">{#N/A,#N/A,TRUE,"Cover";#N/A,#N/A,TRUE,"Conts";#N/A,#N/A,TRUE,"VOS";#N/A,#N/A,TRUE,"Warrington";#N/A,#N/A,TRUE,"Widnes"}</definedName>
    <definedName name="ytr" localSheetId="2" hidden="1">{#N/A,#N/A,FALSE,"估價單  (3)"}</definedName>
    <definedName name="ytr" hidden="1">{#N/A,#N/A,FALSE,"估價單  (3)"}</definedName>
    <definedName name="ytuloioio" localSheetId="2" hidden="1">{#N/A,#N/A,TRUE,"Cover";#N/A,#N/A,TRUE,"Conts";#N/A,#N/A,TRUE,"VOS";#N/A,#N/A,TRUE,"Warrington";#N/A,#N/A,TRUE,"Widnes"}</definedName>
    <definedName name="ytuloioio" hidden="1">{#N/A,#N/A,TRUE,"Cover";#N/A,#N/A,TRUE,"Conts";#N/A,#N/A,TRUE,"VOS";#N/A,#N/A,TRUE,"Warrington";#N/A,#N/A,TRUE,"Widnes"}</definedName>
    <definedName name="yui" localSheetId="2" hidden="1">{"'Break down'!$A$4"}</definedName>
    <definedName name="yui" hidden="1">{"'Break down'!$A$4"}</definedName>
    <definedName name="yuk" localSheetId="2" hidden="1">{#N/A,#N/A,TRUE,"Front";#N/A,#N/A,TRUE,"Simple Letter";#N/A,#N/A,TRUE,"Inside";#N/A,#N/A,TRUE,"Contents";#N/A,#N/A,TRUE,"Basis";#N/A,#N/A,TRUE,"Inclusions";#N/A,#N/A,TRUE,"Exclusions";#N/A,#N/A,TRUE,"Areas";#N/A,#N/A,TRUE,"Summary";#N/A,#N/A,TRUE,"Detail"}</definedName>
    <definedName name="yuk" hidden="1">{#N/A,#N/A,TRUE,"Front";#N/A,#N/A,TRUE,"Simple Letter";#N/A,#N/A,TRUE,"Inside";#N/A,#N/A,TRUE,"Contents";#N/A,#N/A,TRUE,"Basis";#N/A,#N/A,TRUE,"Inclusions";#N/A,#N/A,TRUE,"Exclusions";#N/A,#N/A,TRUE,"Areas";#N/A,#N/A,TRUE,"Summary";#N/A,#N/A,TRUE,"Detail"}</definedName>
    <definedName name="yup" localSheetId="2" hidden="1">{"'Break down'!$A$4"}</definedName>
    <definedName name="yup" hidden="1">{"'Break down'!$A$4"}</definedName>
    <definedName name="yuti" localSheetId="2" hidden="1">{#N/A,#N/A,FALSE,"估價單  (3)"}</definedName>
    <definedName name="yuti" hidden="1">{#N/A,#N/A,FALSE,"估價單  (3)"}</definedName>
    <definedName name="yuti7i78o" localSheetId="2" hidden="1">{#N/A,#N/A,TRUE,"Cover";#N/A,#N/A,TRUE,"Conts";#N/A,#N/A,TRUE,"VOS";#N/A,#N/A,TRUE,"Warrington";#N/A,#N/A,TRUE,"Widnes"}</definedName>
    <definedName name="yuti7i78o" hidden="1">{#N/A,#N/A,TRUE,"Cover";#N/A,#N/A,TRUE,"Conts";#N/A,#N/A,TRUE,"VOS";#N/A,#N/A,TRUE,"Warrington";#N/A,#N/A,TRUE,"Widnes"}</definedName>
    <definedName name="yyy" localSheetId="2" hidden="1">{#N/A,#N/A,FALSE,"Motor List"}</definedName>
    <definedName name="yyy" hidden="1">{#N/A,#N/A,TRUE,"Cover";#N/A,#N/A,TRUE,"Conts";#N/A,#N/A,TRUE,"VOS";#N/A,#N/A,TRUE,"Warrington";#N/A,#N/A,TRUE,"Widnes"}</definedName>
    <definedName name="Z_01EEECA8_52E8_4BA6_B221_CB6D3C468C80_.wvu.Cols" hidden="1">#REF!</definedName>
    <definedName name="Z_01EEECA8_52E8_4BA6_B221_CB6D3C468C80_.wvu.FilterData" hidden="1">#REF!</definedName>
    <definedName name="Z_0B3EF283_BAAE_40DA_B109_606B8002D5D4_.wvu.FilterData" hidden="1">#REF!</definedName>
    <definedName name="Z_0C509CAE_4B28_497F_9463_E056D87AE422_.wvu.Rows" localSheetId="2" hidden="1">#REF!</definedName>
    <definedName name="Z_0C509CAE_4B28_497F_9463_E056D87AE422_.wvu.Rows" hidden="1">#REF!</definedName>
    <definedName name="Z_5A4CDE39_BC84_48C0_8208_6970E7A71896_.wvu.Cols" localSheetId="2" hidden="1">#REF!,#REF!,#REF!</definedName>
    <definedName name="Z_5A4CDE39_BC84_48C0_8208_6970E7A71896_.wvu.Cols" hidden="1">#REF!,#REF!,#REF!</definedName>
    <definedName name="Z_64FBE21F_D610_4122_B662_C1CA556F0E6B_.wvu.Rows" localSheetId="2" hidden="1">#REF!,#REF!</definedName>
    <definedName name="Z_64FBE21F_D610_4122_B662_C1CA556F0E6B_.wvu.Rows" hidden="1">#REF!,#REF!</definedName>
    <definedName name="Z_67879F2D_A365_4C5F_ACA2_06A222DC585F_.wvu.FilterData" hidden="1">#REF!</definedName>
    <definedName name="Z_6CDCF69B_5AF1_4147_8314_DDC51BBAE13A_.wvu.FilterData" hidden="1">#REF!</definedName>
    <definedName name="Z_821080B5_A53F_46D5_A7A8_C550E9A6DB8E_.wvu.Rows" localSheetId="2" hidden="1">#REF!</definedName>
    <definedName name="Z_821080B5_A53F_46D5_A7A8_C550E9A6DB8E_.wvu.Rows" hidden="1">#REF!</definedName>
    <definedName name="Z_89FC4C3A_6586_42BA_B0E6_F0959042E6A0_.wvu.Rows" localSheetId="2" hidden="1">#REF!</definedName>
    <definedName name="Z_89FC4C3A_6586_42BA_B0E6_F0959042E6A0_.wvu.Rows" hidden="1">#REF!</definedName>
    <definedName name="Z_8FCC9949_BB10_48DD_835F_9D6E68B3AE12_.wvu.PrintTitles" localSheetId="2" hidden="1">#REF!</definedName>
    <definedName name="Z_8FCC9949_BB10_48DD_835F_9D6E68B3AE12_.wvu.PrintTitles" hidden="1">#REF!</definedName>
    <definedName name="Z_8FCC9949_BB10_48DD_835F_9D6E68B3AE12_.wvu.Rows" localSheetId="2" hidden="1">#REF!,#REF!</definedName>
    <definedName name="Z_8FCC9949_BB10_48DD_835F_9D6E68B3AE12_.wvu.Rows" hidden="1">#REF!,#REF!</definedName>
    <definedName name="Z_97AF8B62_D04D_48F2_A853_93998C7922D6_.wvu.FilterData" hidden="1">#REF!</definedName>
    <definedName name="Z_9D737543_22F2_11D3_ACAF_004F490495C0_.wvu.Cols" localSheetId="2" hidden="1">#REF!,#REF!,#REF!</definedName>
    <definedName name="Z_9D737543_22F2_11D3_ACAF_004F490495C0_.wvu.Cols" hidden="1">#REF!,#REF!,#REF!</definedName>
    <definedName name="Z_9D737543_22F2_11D3_ACAF_004F490495C0_.wvu.FilterData" localSheetId="2" hidden="1">#REF!</definedName>
    <definedName name="Z_9D737543_22F2_11D3_ACAF_004F490495C0_.wvu.FilterData" hidden="1">#REF!</definedName>
    <definedName name="Z_9D737543_22F2_11D3_ACAF_004F490495C0_.wvu.PrintArea" localSheetId="2" hidden="1">#REF!,#REF!,#REF!,#REF!,#REF!</definedName>
    <definedName name="Z_9D737543_22F2_11D3_ACAF_004F490495C0_.wvu.PrintArea" hidden="1">#REF!,#REF!,#REF!,#REF!,#REF!</definedName>
    <definedName name="Z_9D737543_22F2_11D3_ACAF_004F490495C0_.wvu.PrintTitles" localSheetId="2" hidden="1">#REF!,#REF!</definedName>
    <definedName name="Z_9D737543_22F2_11D3_ACAF_004F490495C0_.wvu.PrintTitles" hidden="1">#REF!,#REF!</definedName>
    <definedName name="Z_9D737543_22F2_11D3_ACAF_004F490495C0_.wvu.Rows" localSheetId="2" hidden="1">#REF!,#REF!,#REF!,#REF!,#REF!,#REF!,#REF!,#REF!,#REF!,#REF!,#REF!</definedName>
    <definedName name="Z_9D737543_22F2_11D3_ACAF_004F490495C0_.wvu.Rows" hidden="1">#REF!,#REF!,#REF!,#REF!,#REF!,#REF!,#REF!,#REF!,#REF!,#REF!,#REF!</definedName>
    <definedName name="Z_9D737544_22F2_11D3_ACAF_004F490495C0_.wvu.Cols" localSheetId="2" hidden="1">#REF!,#REF!,#REF!</definedName>
    <definedName name="Z_9D737544_22F2_11D3_ACAF_004F490495C0_.wvu.Cols" hidden="1">#REF!,#REF!,#REF!</definedName>
    <definedName name="Z_9D737544_22F2_11D3_ACAF_004F490495C0_.wvu.FilterData" localSheetId="2" hidden="1">#REF!</definedName>
    <definedName name="Z_9D737544_22F2_11D3_ACAF_004F490495C0_.wvu.FilterData" hidden="1">#REF!</definedName>
    <definedName name="Z_9D737544_22F2_11D3_ACAF_004F490495C0_.wvu.PrintArea" localSheetId="2" hidden="1">#REF!</definedName>
    <definedName name="Z_9D737544_22F2_11D3_ACAF_004F490495C0_.wvu.PrintArea" hidden="1">#REF!</definedName>
    <definedName name="Z_9D737544_22F2_11D3_ACAF_004F490495C0_.wvu.PrintTitles" localSheetId="2" hidden="1">#REF!,#REF!</definedName>
    <definedName name="Z_9D737544_22F2_11D3_ACAF_004F490495C0_.wvu.PrintTitles" hidden="1">#REF!,#REF!</definedName>
    <definedName name="Z_9D737544_22F2_11D3_ACAF_004F490495C0_.wvu.Rows" localSheetId="2" hidden="1">#REF!,#REF!,#REF!,#REF!,#REF!,#REF!,#REF!,#REF!,#REF!,#REF!,#REF!</definedName>
    <definedName name="Z_9D737544_22F2_11D3_ACAF_004F490495C0_.wvu.Rows" hidden="1">#REF!,#REF!,#REF!,#REF!,#REF!,#REF!,#REF!,#REF!,#REF!,#REF!,#REF!</definedName>
    <definedName name="Z_9D737546_22F2_11D3_ACAF_004F490495C0_.wvu.Cols" localSheetId="2" hidden="1">#REF!</definedName>
    <definedName name="Z_9D737546_22F2_11D3_ACAF_004F490495C0_.wvu.Cols" hidden="1">#REF!</definedName>
    <definedName name="Z_9D737546_22F2_11D3_ACAF_004F490495C0_.wvu.FilterData" localSheetId="2" hidden="1">#REF!</definedName>
    <definedName name="Z_9D737546_22F2_11D3_ACAF_004F490495C0_.wvu.FilterData" hidden="1">#REF!</definedName>
    <definedName name="Z_9D737546_22F2_11D3_ACAF_004F490495C0_.wvu.PrintArea" localSheetId="2" hidden="1">#REF!,#REF!,#REF!</definedName>
    <definedName name="Z_9D737546_22F2_11D3_ACAF_004F490495C0_.wvu.PrintArea" hidden="1">#REF!,#REF!,#REF!</definedName>
    <definedName name="Z_9D737546_22F2_11D3_ACAF_004F490495C0_.wvu.PrintTitles" localSheetId="2" hidden="1">#REF!,#REF!</definedName>
    <definedName name="Z_9D737546_22F2_11D3_ACAF_004F490495C0_.wvu.PrintTitles" hidden="1">#REF!,#REF!</definedName>
    <definedName name="Z_9D737546_22F2_11D3_ACAF_004F490495C0_.wvu.Rows" localSheetId="2" hidden="1">#REF!,#REF!,#REF!,#REF!,#REF!,#REF!,#REF!,#REF!,#REF!,#REF!,#REF!</definedName>
    <definedName name="Z_9D737546_22F2_11D3_ACAF_004F490495C0_.wvu.Rows" hidden="1">#REF!,#REF!,#REF!,#REF!,#REF!,#REF!,#REF!,#REF!,#REF!,#REF!,#REF!</definedName>
    <definedName name="Z_9D737548_22F2_11D3_ACAF_004F490495C0_.wvu.Cols" localSheetId="2" hidden="1">#REF!,#REF!</definedName>
    <definedName name="Z_9D737548_22F2_11D3_ACAF_004F490495C0_.wvu.Cols" hidden="1">#REF!,#REF!</definedName>
    <definedName name="Z_9D737548_22F2_11D3_ACAF_004F490495C0_.wvu.FilterData" localSheetId="2" hidden="1">#REF!</definedName>
    <definedName name="Z_9D737548_22F2_11D3_ACAF_004F490495C0_.wvu.FilterData" hidden="1">#REF!</definedName>
    <definedName name="Z_9D737548_22F2_11D3_ACAF_004F490495C0_.wvu.PrintArea" localSheetId="2" hidden="1">#REF!</definedName>
    <definedName name="Z_9D737548_22F2_11D3_ACAF_004F490495C0_.wvu.PrintArea" hidden="1">#REF!</definedName>
    <definedName name="Z_9D737548_22F2_11D3_ACAF_004F490495C0_.wvu.PrintTitles" localSheetId="2" hidden="1">#REF!,#REF!</definedName>
    <definedName name="Z_9D737548_22F2_11D3_ACAF_004F490495C0_.wvu.PrintTitles" hidden="1">#REF!,#REF!</definedName>
    <definedName name="Z_9D737548_22F2_11D3_ACAF_004F490495C0_.wvu.Rows" localSheetId="2" hidden="1">#REF!,#REF!,#REF!,#REF!,#REF!,#REF!,#REF!,#REF!,#REF!,#REF!,#REF!</definedName>
    <definedName name="Z_9D737548_22F2_11D3_ACAF_004F490495C0_.wvu.Rows" hidden="1">#REF!,#REF!,#REF!,#REF!,#REF!,#REF!,#REF!,#REF!,#REF!,#REF!,#REF!</definedName>
    <definedName name="Z_9F278A40_BF82_4E3D_9E8B_F7A34E58042E_.wvu.FilterData" hidden="1">#REF!</definedName>
    <definedName name="Z_E61184E6_4A82_48AD_BD46_AD03682B9E61_.wvu.Rows" localSheetId="2" hidden="1">#REF!</definedName>
    <definedName name="Z_E61184E6_4A82_48AD_BD46_AD03682B9E61_.wvu.Rows" hidden="1">#REF!</definedName>
    <definedName name="Z_EA424862_9DB5_4158_B57E_464B76E20666_.wvu.FilterData" hidden="1">#REF!</definedName>
    <definedName name="Z_F56F135F_44F3_478B_BCC3_5E739B702BEF_.wvu.Cols" hidden="1">#REF!</definedName>
    <definedName name="Z_F56F135F_44F3_478B_BCC3_5E739B702BEF_.wvu.FilterData" hidden="1">#REF!</definedName>
    <definedName name="Z_F56F135F_44F3_478B_BCC3_5E739B702BEF_.wvu.PrintTitles" hidden="1">#REF!,#REF!</definedName>
    <definedName name="zaed" localSheetId="2" hidden="1">{#N/A,#N/A,TRUE,"Cover";#N/A,#N/A,TRUE,"Conts";#N/A,#N/A,TRUE,"VOS";#N/A,#N/A,TRUE,"Warrington";#N/A,#N/A,TRUE,"Widnes"}</definedName>
    <definedName name="zaed" hidden="1">{#N/A,#N/A,TRUE,"Cover";#N/A,#N/A,TRUE,"Conts";#N/A,#N/A,TRUE,"VOS";#N/A,#N/A,TRUE,"Warrington";#N/A,#N/A,TRUE,"Widnes"}</definedName>
    <definedName name="ZBDZBDFB" localSheetId="2" hidden="1">{#N/A,#N/A,TRUE,"Cover";#N/A,#N/A,TRUE,"Conts";#N/A,#N/A,TRUE,"VOS";#N/A,#N/A,TRUE,"Warrington";#N/A,#N/A,TRUE,"Widnes"}</definedName>
    <definedName name="ZBDZBDFB" hidden="1">{#N/A,#N/A,TRUE,"Cover";#N/A,#N/A,TRUE,"Conts";#N/A,#N/A,TRUE,"VOS";#N/A,#N/A,TRUE,"Warrington";#N/A,#N/A,TRUE,"Widnes"}</definedName>
    <definedName name="zdf" hidden="1">#REF!</definedName>
    <definedName name="zhdrt" localSheetId="2" hidden="1">{"'Break down'!$A$4"}</definedName>
    <definedName name="zhdrt" hidden="1">{"'Break down'!$A$4"}</definedName>
    <definedName name="Zip1" localSheetId="2" hidden="1">{#N/A,#N/A,TRUE,"Front";#N/A,#N/A,TRUE,"Simple Letter";#N/A,#N/A,TRUE,"Inside";#N/A,#N/A,TRUE,"Contents";#N/A,#N/A,TRUE,"Basis";#N/A,#N/A,TRUE,"Inclusions";#N/A,#N/A,TRUE,"Exclusions";#N/A,#N/A,TRUE,"Areas";#N/A,#N/A,TRUE,"Summary";#N/A,#N/A,TRUE,"Detail"}</definedName>
    <definedName name="Zip1" hidden="1">{#N/A,#N/A,TRUE,"Front";#N/A,#N/A,TRUE,"Simple Letter";#N/A,#N/A,TRUE,"Inside";#N/A,#N/A,TRUE,"Contents";#N/A,#N/A,TRUE,"Basis";#N/A,#N/A,TRUE,"Inclusions";#N/A,#N/A,TRUE,"Exclusions";#N/A,#N/A,TRUE,"Areas";#N/A,#N/A,TRUE,"Summary";#N/A,#N/A,TRUE,"Detail"}</definedName>
    <definedName name="zndgtt" localSheetId="2" hidden="1">{"'Break down'!$A$4"}</definedName>
    <definedName name="zndgtt" hidden="1">{"'Break down'!$A$4"}</definedName>
    <definedName name="zse" localSheetId="2"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C" localSheetId="2" hidden="1">{#N/A,#N/A,FALSE,"CCTV"}</definedName>
    <definedName name="ZXCV" localSheetId="2" hidden="1">{#N/A,#N/A,FALSE,"CCTV"}</definedName>
    <definedName name="ZXCV" hidden="1">{#N/A,#N/A,FALSE,"CCTV"}</definedName>
    <definedName name="zxdvzdv" localSheetId="2" hidden="1">{#N/A,#N/A,TRUE,"Cover";#N/A,#N/A,TRUE,"Conts";#N/A,#N/A,TRUE,"VOS";#N/A,#N/A,TRUE,"Warrington";#N/A,#N/A,TRUE,"Widnes"}</definedName>
    <definedName name="zxdvzdv" hidden="1">{#N/A,#N/A,TRUE,"Cover";#N/A,#N/A,TRUE,"Conts";#N/A,#N/A,TRUE,"VOS";#N/A,#N/A,TRUE,"Warrington";#N/A,#N/A,TRUE,"Widnes"}</definedName>
    <definedName name="zxgsdfg" localSheetId="2" hidden="1">{"'Bill No. 7'!$A$1:$G$32"}</definedName>
    <definedName name="zxgsdfg" hidden="1">{"'Bill No. 7'!$A$1:$G$32"}</definedName>
    <definedName name="zz" localSheetId="2" hidden="1">{#N/A,#N/A,TRUE,"RESUMEN ECON.";#N/A,#N/A,TRUE,"Costos de R.H.";#N/A,#N/A,TRUE,"COSTO HW";#N/A,#N/A,TRUE,"CUADROS";#N/A,#N/A,TRUE,"SCADA´s";#N/A,#N/A,TRUE,"PRECIOS EQUIPOS"}</definedName>
    <definedName name="zz" hidden="1">{#N/A,#N/A,FALSE,"SumD";#N/A,#N/A,FALSE,"ElecD";#N/A,#N/A,FALSE,"MechD";#N/A,#N/A,FALSE,"GeotD";#N/A,#N/A,FALSE,"PrcsD";#N/A,#N/A,FALSE,"TunnD";#N/A,#N/A,FALSE,"CivlD";#N/A,#N/A,FALSE,"NtwkD";#N/A,#N/A,FALSE,"EstgD";#N/A,#N/A,FALSE,"PEngD"}</definedName>
    <definedName name="zzz" localSheetId="2" hidden="1">{#N/A,#N/A,TRUE,"Cover";#N/A,#N/A,TRUE,"Conts";#N/A,#N/A,TRUE,"VOS";#N/A,#N/A,TRUE,"Warrington";#N/A,#N/A,TRUE,"Widnes"}</definedName>
    <definedName name="zzz" hidden="1">{#N/A,#N/A,TRUE,"Cover";#N/A,#N/A,TRUE,"Conts";#N/A,#N/A,TRUE,"VOS";#N/A,#N/A,TRUE,"Warrington";#N/A,#N/A,TRUE,"Widnes"}</definedName>
    <definedName name="zzz1" localSheetId="2" hidden="1">#REF!</definedName>
    <definedName name="zzz1" hidden="1">#REF!</definedName>
    <definedName name="가나다" localSheetId="2" hidden="1">#REF!</definedName>
    <definedName name="가나다" hidden="1">#REF!</definedName>
    <definedName name="견적조건" localSheetId="2" hidden="1">#REF!</definedName>
    <definedName name="견적조건" hidden="1">#REF!</definedName>
    <definedName name="고문" localSheetId="2" hidden="1">{#N/A,#N/A,FALSE,"현장 NCR 분석";#N/A,#N/A,FALSE,"현장품질감사";#N/A,#N/A,FALSE,"현장품질감사"}</definedName>
    <definedName name="고문" hidden="1">{#N/A,#N/A,FALSE,"현장 NCR 분석";#N/A,#N/A,FALSE,"현장품질감사";#N/A,#N/A,FALSE,"현장품질감사"}</definedName>
    <definedName name="고문2" localSheetId="2" hidden="1">{#N/A,#N/A,FALSE,"현장 NCR 분석";#N/A,#N/A,FALSE,"현장품질감사";#N/A,#N/A,FALSE,"현장품질감사"}</definedName>
    <definedName name="고문2" hidden="1">{#N/A,#N/A,FALSE,"현장 NCR 분석";#N/A,#N/A,FALSE,"현장품질감사";#N/A,#N/A,FALSE,"현장품질감사"}</definedName>
    <definedName name="구조물공" localSheetId="2" hidden="1">{#N/A,#N/A,FALSE,"이정표"}</definedName>
    <definedName name="구조물공" hidden="1">{#N/A,#N/A,FALSE,"이정표"}</definedName>
    <definedName name="기구조직080102" localSheetId="2" hidden="1">{#N/A,#N/A,FALSE,"현장 NCR 분석";#N/A,#N/A,FALSE,"현장품질감사";#N/A,#N/A,FALSE,"현장품질감사"}</definedName>
    <definedName name="기구조직080102" hidden="1">{#N/A,#N/A,FALSE,"현장 NCR 분석";#N/A,#N/A,FALSE,"현장품질감사";#N/A,#N/A,FALSE,"현장품질감사"}</definedName>
    <definedName name="ㄴㄴ" localSheetId="2" hidden="1">{#N/A,#N/A,FALSE,"표지목차"}</definedName>
    <definedName name="ㄴㄴ" hidden="1">{#N/A,#N/A,FALSE,"표지목차"}</definedName>
    <definedName name="ㄴㅁㄹㄴㅁㅇㄴㅇㅁㄹㄴ" localSheetId="2" hidden="1">{#N/A,#N/A,FALSE,"단가표지"}</definedName>
    <definedName name="ㄴㅁㄹㄴㅁㅇㄴㅇㅁㄹㄴ" hidden="1">{#N/A,#N/A,FALSE,"단가표지"}</definedName>
    <definedName name="ㄴㅁㄹㅈㄹ" localSheetId="2" hidden="1">#REF!</definedName>
    <definedName name="ㄴㅁㄹㅈㄹ" hidden="1">#REF!</definedName>
    <definedName name="ㄴㅇㄹ" localSheetId="2" hidden="1">{#N/A,#N/A,FALSE,"CCTV"}</definedName>
    <definedName name="ㄴㅇㄹ" hidden="1">{#N/A,#N/A,FALSE,"CCTV"}</definedName>
    <definedName name="넣러" localSheetId="2" hidden="1">{#N/A,#N/A,FALSE,"표지목차"}</definedName>
    <definedName name="넣러" hidden="1">{#N/A,#N/A,FALSE,"표지목차"}</definedName>
    <definedName name="놓ㄹ노" localSheetId="2" hidden="1">{#N/A,#N/A,FALSE,"골재소요량";#N/A,#N/A,FALSE,"골재소요량"}</definedName>
    <definedName name="놓ㄹ노" hidden="1">{#N/A,#N/A,FALSE,"골재소요량";#N/A,#N/A,FALSE,"골재소요량"}</definedName>
    <definedName name="ㄴㄻㄴㅇ" localSheetId="2" hidden="1">{#N/A,#N/A,FALSE,"조골재"}</definedName>
    <definedName name="ㄴㄻㄴㅇ" hidden="1">{#N/A,#N/A,FALSE,"조골재"}</definedName>
    <definedName name="ㄷㄱ" localSheetId="2" hidden="1">{#N/A,#N/A,FALSE,"단가표지"}</definedName>
    <definedName name="ㄷㄱ" hidden="1">{#N/A,#N/A,FALSE,"단가표지"}</definedName>
    <definedName name="ㄷㄷㄷ" localSheetId="2" hidden="1">{#N/A,#N/A,FALSE,"운반시간"}</definedName>
    <definedName name="ㄷㄷㄷ" hidden="1">{#N/A,#N/A,FALSE,"운반시간"}</definedName>
    <definedName name="ㄷㅎㄹㅇ" localSheetId="2" hidden="1">#REF!</definedName>
    <definedName name="ㄷㅎㄹㅇ" hidden="1">#REF!</definedName>
    <definedName name="당초계획" localSheetId="2" hidden="1">#REF!</definedName>
    <definedName name="당초계획" hidden="1">#REF!</definedName>
    <definedName name="ㄹㄴ웋" localSheetId="2" hidden="1">{#N/A,#N/A,FALSE,"운반시간"}</definedName>
    <definedName name="ㄹㄴ웋" hidden="1">{#N/A,#N/A,FALSE,"운반시간"}</definedName>
    <definedName name="ㄹㄴㅇㄻㄴ" localSheetId="2" hidden="1">{#N/A,#N/A,FALSE,"단가표지"}</definedName>
    <definedName name="ㄹㄴㅇㄻㄴ" hidden="1">{#N/A,#N/A,FALSE,"단가표지"}</definedName>
    <definedName name="ㄹㅇㄹ" localSheetId="2" hidden="1">{#N/A,#N/A,FALSE,"혼합골재"}</definedName>
    <definedName name="ㄹㅇㄹ" hidden="1">{#N/A,#N/A,FALSE,"혼합골재"}</definedName>
    <definedName name="ㄹㅇㅎㄴㅇ" localSheetId="2" hidden="1">{#N/A,#N/A,FALSE,"조골재"}</definedName>
    <definedName name="ㄹㅇㅎㄴㅇ" hidden="1">{#N/A,#N/A,FALSE,"조골재"}</definedName>
    <definedName name="ㅁ" localSheetId="2" hidden="1">{#N/A,#N/A,FALSE,"CCTV"}</definedName>
    <definedName name="ㅁ" hidden="1">{#N/A,#N/A,FALSE,"CCTV"}</definedName>
    <definedName name="ㅁㄴㄹㄴ" localSheetId="2" hidden="1">{#N/A,#N/A,FALSE,"운반시간"}</definedName>
    <definedName name="ㅁㄴㄹㄴ" hidden="1">{#N/A,#N/A,FALSE,"운반시간"}</definedName>
    <definedName name="ㅁㄴㄹㅇㅁ" localSheetId="2" hidden="1">{#N/A,#N/A,FALSE,"단가표지"}</definedName>
    <definedName name="ㅁㄴㄹㅇㅁ" hidden="1">{#N/A,#N/A,FALSE,"단가표지"}</definedName>
    <definedName name="ㅁㄹㄴㅇ" localSheetId="2" hidden="1">{#N/A,#N/A,FALSE,"단가표지"}</definedName>
    <definedName name="ㅁㄹㄴㅇ" hidden="1">{#N/A,#N/A,FALSE,"단가표지"}</definedName>
    <definedName name="ㅁㄹㄴㅇㅁ" localSheetId="2" hidden="1">{#N/A,#N/A,FALSE,"표지목차"}</definedName>
    <definedName name="ㅁㄹㄴㅇㅁ" hidden="1">{#N/A,#N/A,FALSE,"표지목차"}</definedName>
    <definedName name="ㅁㄹㄴㅇㄻㄴㄹ" localSheetId="2" hidden="1">{#N/A,#N/A,FALSE,"골재소요량";#N/A,#N/A,FALSE,"골재소요량"}</definedName>
    <definedName name="ㅁㄹㄴㅇㄻㄴㄹ" hidden="1">{#N/A,#N/A,FALSE,"골재소요량";#N/A,#N/A,FALSE,"골재소요량"}</definedName>
    <definedName name="ㅁㄹㅇㄴ" localSheetId="2" hidden="1">{#N/A,#N/A,FALSE,"단가표지"}</definedName>
    <definedName name="ㅁㄹㅇㄴ" hidden="1">{#N/A,#N/A,FALSE,"단가표지"}</definedName>
    <definedName name="ㅁㄹㅇㅁㄴ" localSheetId="2" hidden="1">{#N/A,#N/A,FALSE,"골재소요량";#N/A,#N/A,FALSE,"골재소요량"}</definedName>
    <definedName name="ㅁㄹㅇㅁㄴ" hidden="1">{#N/A,#N/A,FALSE,"골재소요량";#N/A,#N/A,FALSE,"골재소요량"}</definedName>
    <definedName name="ㅁㅁ" localSheetId="2" hidden="1">{#N/A,#N/A,FALSE,"CCTV"}</definedName>
    <definedName name="ㅁㅁ" hidden="1">{#N/A,#N/A,FALSE,"CCTV"}</definedName>
    <definedName name="ㅁㅁㅁㅁ" localSheetId="2" hidden="1">{#N/A,#N/A,FALSE,"혼합골재"}</definedName>
    <definedName name="ㅁㅁㅁㅁ" hidden="1">{#N/A,#N/A,FALSE,"혼합골재"}</definedName>
    <definedName name="ㅁㅇㄹㄴㅇㅁㄹ" localSheetId="2" hidden="1">{#N/A,#N/A,FALSE,"운반시간"}</definedName>
    <definedName name="ㅁㅇㄹㄴㅇㅁㄹ" hidden="1">{#N/A,#N/A,FALSE,"운반시간"}</definedName>
    <definedName name="ㅁㅇㅀㅁㅇ" localSheetId="2" hidden="1">{#N/A,#N/A,FALSE,"단가표지"}</definedName>
    <definedName name="ㅁㅇㅀㅁㅇ" hidden="1">{#N/A,#N/A,FALSE,"단가표지"}</definedName>
    <definedName name="ㅁㅇㄻ" localSheetId="2" hidden="1">{#N/A,#N/A,FALSE,"조골재"}</definedName>
    <definedName name="ㅁㅇㄻ" hidden="1">{#N/A,#N/A,FALSE,"조골재"}</definedName>
    <definedName name="ㅁㅇㄻㄴㄹ" localSheetId="2" hidden="1">{#N/A,#N/A,FALSE,"혼합골재"}</definedName>
    <definedName name="ㅁㅇㄻㄴㄹ" hidden="1">{#N/A,#N/A,FALSE,"혼합골재"}</definedName>
    <definedName name="ㅁㅇㄻㅇㅎ" localSheetId="2" hidden="1">{#N/A,#N/A,FALSE,"조골재"}</definedName>
    <definedName name="ㅁㅇㄻㅇㅎ" hidden="1">{#N/A,#N/A,FALSE,"조골재"}</definedName>
    <definedName name="ㅁㅎㅇㅀㅁㅇ" localSheetId="2" hidden="1">{#N/A,#N/A,FALSE,"2~8번"}</definedName>
    <definedName name="ㅁㅎㅇㅀㅁㅇ" hidden="1">{#N/A,#N/A,FALSE,"2~8번"}</definedName>
    <definedName name="ㅁㅎㅇㅀㅁㅎ" localSheetId="2" hidden="1">{#N/A,#N/A,FALSE,"단가표지"}</definedName>
    <definedName name="ㅁㅎㅇㅀㅁㅎ" hidden="1">{#N/A,#N/A,FALSE,"단가표지"}</definedName>
    <definedName name="ㅁㅎㄻㅇㄻ" localSheetId="2" hidden="1">{#N/A,#N/A,FALSE,"운반시간"}</definedName>
    <definedName name="ㅁㅎㄻㅇㄻ" hidden="1">{#N/A,#N/A,FALSE,"운반시간"}</definedName>
    <definedName name="ㅁㄻㄴㄹ" localSheetId="2" hidden="1">{#N/A,#N/A,FALSE,"골재소요량";#N/A,#N/A,FALSE,"골재소요량"}</definedName>
    <definedName name="ㅁㄻㄴㄹ" hidden="1">{#N/A,#N/A,FALSE,"골재소요량";#N/A,#N/A,FALSE,"골재소요량"}</definedName>
    <definedName name="ㅂ" localSheetId="2" hidden="1">{#N/A,#N/A,FALSE,"표지목차"}</definedName>
    <definedName name="ㅂ" hidden="1">{#N/A,#N/A,FALSE,"표지목차"}</definedName>
    <definedName name="ㅂㅂ" localSheetId="2" hidden="1">{#N/A,#N/A,FALSE,"단가표지"}</definedName>
    <definedName name="ㅂㅂ" hidden="1">{#N/A,#N/A,FALSE,"단가표지"}</definedName>
    <definedName name="ㅂㅂㅂㅂ" localSheetId="2" hidden="1">{#N/A,#N/A,FALSE,"조골재"}</definedName>
    <definedName name="ㅂㅂㅂㅂ" hidden="1">{#N/A,#N/A,FALSE,"조골재"}</definedName>
    <definedName name="배수공" localSheetId="2" hidden="1">{#N/A,#N/A,FALSE,"부대1"}</definedName>
    <definedName name="배수공" hidden="1">{#N/A,#N/A,FALSE,"부대1"}</definedName>
    <definedName name="보충" localSheetId="2" hidden="1">#REF!</definedName>
    <definedName name="보충" hidden="1">#REF!</definedName>
    <definedName name="부대" localSheetId="2" hidden="1">{#N/A,#N/A,FALSE,"골재소요량";#N/A,#N/A,FALSE,"골재소요량"}</definedName>
    <definedName name="부대" hidden="1">{#N/A,#N/A,FALSE,"골재소요량";#N/A,#N/A,FALSE,"골재소요량"}</definedName>
    <definedName name="부대1" localSheetId="2" hidden="1">{#N/A,#N/A,FALSE,"운반시간"}</definedName>
    <definedName name="부대1" hidden="1">{#N/A,#N/A,FALSE,"운반시간"}</definedName>
    <definedName name="부대공사" localSheetId="2" hidden="1">#REF!</definedName>
    <definedName name="부대공사" hidden="1">#REF!</definedName>
    <definedName name="부손익" localSheetId="2" hidden="1">{#N/A,#N/A,FALSE,"현장 NCR 분석";#N/A,#N/A,FALSE,"현장품질감사";#N/A,#N/A,FALSE,"현장품질감사"}</definedName>
    <definedName name="부손익" hidden="1">{#N/A,#N/A,FALSE,"현장 NCR 분석";#N/A,#N/A,FALSE,"현장품질감사";#N/A,#N/A,FALSE,"현장품질감사"}</definedName>
    <definedName name="뷰" localSheetId="2" hidden="1">{#N/A,#N/A,FALSE,"단가표지"}</definedName>
    <definedName name="뷰" hidden="1">{#N/A,#N/A,FALSE,"단가표지"}</definedName>
    <definedName name="ㅅ굲유" localSheetId="2" hidden="1">{#N/A,#N/A,FALSE,"조골재"}</definedName>
    <definedName name="ㅅ굲유" hidden="1">{#N/A,#N/A,FALSE,"조골재"}</definedName>
    <definedName name="사업부양식2" localSheetId="2" hidden="1">#REF!</definedName>
    <definedName name="사업부양식2" hidden="1">#REF!</definedName>
    <definedName name="사업비최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손익계산서" localSheetId="2" hidden="1">#REF!</definedName>
    <definedName name="손익계산서" hidden="1">#REF!</definedName>
    <definedName name="ㅇㄴㄻ" localSheetId="2" hidden="1">{#N/A,#N/A,FALSE,"표지목차"}</definedName>
    <definedName name="ㅇㄴㄻ" hidden="1">{#N/A,#N/A,FALSE,"표지목차"}</definedName>
    <definedName name="ㅇㄴㄻㄴㅇ" localSheetId="2" hidden="1">{#N/A,#N/A,FALSE,"표지목차"}</definedName>
    <definedName name="ㅇㄴㄻㄴㅇ" hidden="1">{#N/A,#N/A,FALSE,"표지목차"}</definedName>
    <definedName name="ㅇㅇㅇ" localSheetId="2" hidden="1">{#N/A,#N/A,FALSE,"표지목차"}</definedName>
    <definedName name="ㅇㅇㅇ" hidden="1">{#N/A,#N/A,FALSE,"표지목차"}</definedName>
    <definedName name="ㅇ호" localSheetId="2" hidden="1">{#N/A,#N/A,FALSE,"혼합골재"}</definedName>
    <definedName name="ㅇ호" hidden="1">{#N/A,#N/A,FALSE,"혼합골재"}</definedName>
    <definedName name="ㅇㅀㅁㅇㅁㅇ" localSheetId="2" hidden="1">{#N/A,#N/A,FALSE,"단가표지"}</definedName>
    <definedName name="ㅇㅀㅁㅇㅁㅇ" hidden="1">{#N/A,#N/A,FALSE,"단가표지"}</definedName>
    <definedName name="우ㅗ홓ㅇ" localSheetId="2" hidden="1">{#N/A,#N/A,FALSE,"조골재"}</definedName>
    <definedName name="우ㅗ홓ㅇ" hidden="1">{#N/A,#N/A,FALSE,"조골재"}</definedName>
    <definedName name="인력2" localSheetId="2" hidden="1">{#N/A,#N/A,FALSE,"CCTV"}</definedName>
    <definedName name="인력2" hidden="1">{#N/A,#N/A,FALSE,"CCTV"}</definedName>
    <definedName name="ㅇㄻㅇㄻㄴㄹ" localSheetId="2" hidden="1">{#N/A,#N/A,FALSE,"단가표지"}</definedName>
    <definedName name="ㅇㄻㅇㄻㄴㄹ" hidden="1">{#N/A,#N/A,FALSE,"단가표지"}</definedName>
    <definedName name="ㅈ" localSheetId="2" hidden="1">{#N/A,#N/A,FALSE,"CCTV"}</definedName>
    <definedName name="ㅈ" hidden="1">{#N/A,#N/A,FALSE,"CCTV"}</definedName>
    <definedName name="ㅈㄱ" localSheetId="2" hidden="1">{#N/A,#N/A,FALSE,"CCTV"}</definedName>
    <definedName name="ㅈㄱ" hidden="1">{#N/A,#N/A,FALSE,"CCTV"}</definedName>
    <definedName name="ㅈ그" localSheetId="2" hidden="1">{#N/A,#N/A,FALSE,"CCTV"}</definedName>
    <definedName name="ㅈ그" hidden="1">{#N/A,#N/A,FALSE,"CCTV"}</definedName>
    <definedName name="장비" localSheetId="2" hidden="1">{#N/A,#N/A,FALSE,"CCTV"}</definedName>
    <definedName name="장비" hidden="1">{#N/A,#N/A,FALSE,"CCTV"}</definedName>
    <definedName name="장비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장비2" hidden="1">{#N/A,#N/A,FALSE,"손익표지";#N/A,#N/A,FALSE,"손익계산";#N/A,#N/A,FALSE,"일반관리비";#N/A,#N/A,FALSE,"영업외수익";#N/A,#N/A,FALSE,"영업외비용";#N/A,#N/A,FALSE,"매출액";#N/A,#N/A,FALSE,"요약손익";#N/A,#N/A,FALSE,"요약대차";#N/A,#N/A,FALSE,"매출채권현황";#N/A,#N/A,FALSE,"매출채권명세"}</definedName>
    <definedName name="저층부공내역" localSheetId="2" hidden="1">{#N/A,#N/A,FALSE,"估價單  (3)"}</definedName>
    <definedName name="저층부공내역" hidden="1">{#N/A,#N/A,FALSE,"估價單  (3)"}</definedName>
    <definedName name="저층부금액" localSheetId="2" hidden="1">{#N/A,#N/A,FALSE,"估價單  (3)"}</definedName>
    <definedName name="저층부금액" hidden="1">{#N/A,#N/A,FALSE,"估價單  (3)"}</definedName>
    <definedName name="저층부금액1" localSheetId="2" hidden="1">{#N/A,#N/A,FALSE,"估價單  (3)"}</definedName>
    <definedName name="저층부금액1" hidden="1">{#N/A,#N/A,FALSE,"估價單  (3)"}</definedName>
    <definedName name="전기공사비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선조장" localSheetId="2" hidden="1">#REF!</definedName>
    <definedName name="전선조장" hidden="1">#REF!</definedName>
    <definedName name="즈" localSheetId="2" hidden="1">{#N/A,#N/A,FALSE,"CCTV"}</definedName>
    <definedName name="즈" hidden="1">{#N/A,#N/A,FALSE,"CCTV"}</definedName>
    <definedName name="ㅊㅍㅋㅌㅊㅋ" localSheetId="2" hidden="1">{#N/A,#N/A,FALSE,"운반시간"}</definedName>
    <definedName name="ㅊㅍㅋㅌㅊㅋ" hidden="1">{#N/A,#N/A,FALSE,"운반시간"}</definedName>
    <definedName name="ㅊㅍㅋㅌㅍㅌ" localSheetId="2" hidden="1">{#N/A,#N/A,FALSE,"혼합골재"}</definedName>
    <definedName name="ㅊㅍㅋㅌㅍㅌ" hidden="1">{#N/A,#N/A,FALSE,"혼합골재"}</definedName>
    <definedName name="찰샇기" localSheetId="2" hidden="1">#REF!</definedName>
    <definedName name="찰샇기" hidden="1">#REF!</definedName>
    <definedName name="ㅌㅍ츛ㅌ" localSheetId="2" hidden="1">{#N/A,#N/A,FALSE,"운반시간"}</definedName>
    <definedName name="ㅌㅍ츛ㅌ" hidden="1">{#N/A,#N/A,FALSE,"운반시간"}</definedName>
    <definedName name="테스크" localSheetId="2" hidden="1">{#N/A,#N/A,FALSE,"단가표지"}</definedName>
    <definedName name="테스크" hidden="1">{#N/A,#N/A,FALSE,"단가표지"}</definedName>
    <definedName name="토목설계" localSheetId="2" hidden="1">{#N/A,#N/A,FALSE,"골재소요량";#N/A,#N/A,FALSE,"골재소요량"}</definedName>
    <definedName name="토목설계" hidden="1">{#N/A,#N/A,FALSE,"골재소요량";#N/A,#N/A,FALSE,"골재소요량"}</definedName>
    <definedName name="ㅍ춫" localSheetId="2" hidden="1">{#N/A,#N/A,FALSE,"골재소요량";#N/A,#N/A,FALSE,"골재소요량"}</definedName>
    <definedName name="ㅍ춫" hidden="1">{#N/A,#N/A,FALSE,"골재소요량";#N/A,#N/A,FALSE,"골재소요량"}</definedName>
    <definedName name="ㅍ츝" localSheetId="2" hidden="1">{#N/A,#N/A,FALSE,"표지목차"}</definedName>
    <definedName name="ㅍ츝" hidden="1">{#N/A,#N/A,FALSE,"표지목차"}</definedName>
    <definedName name="ㅎㄴ" localSheetId="2" hidden="1">{#N/A,#N/A,FALSE,"단가표지"}</definedName>
    <definedName name="ㅎㄴ" hidden="1">{#N/A,#N/A,FALSE,"단가표지"}</definedName>
    <definedName name="ㅎㄹㄴㅇ" localSheetId="2" hidden="1">{#N/A,#N/A,FALSE,"단가표지"}</definedName>
    <definedName name="ㅎㄹㄴㅇ" hidden="1">{#N/A,#N/A,FALSE,"단가표지"}</definedName>
    <definedName name="ㅎㄹㅇㄴ" localSheetId="2" hidden="1">{#N/A,#N/A,FALSE,"골재소요량";#N/A,#N/A,FALSE,"골재소요량"}</definedName>
    <definedName name="ㅎㄹㅇㄴ" hidden="1">{#N/A,#N/A,FALSE,"골재소요량";#N/A,#N/A,FALSE,"골재소요량"}</definedName>
    <definedName name="ㅎㄹㅇㅁㅁㅎ" localSheetId="2" hidden="1">{#N/A,#N/A,FALSE,"조골재"}</definedName>
    <definedName name="ㅎㄹㅇㅁㅁㅎ" hidden="1">{#N/A,#N/A,FALSE,"조골재"}</definedName>
    <definedName name="ㅎㄹㅇㅁㅎㅁ" localSheetId="2" hidden="1">{#N/A,#N/A,FALSE,"표지목차"}</definedName>
    <definedName name="ㅎㄹㅇㅁㅎㅁ" hidden="1">{#N/A,#N/A,FALSE,"표지목차"}</definedName>
    <definedName name="ㅎㄹㅇㅎ" localSheetId="2" hidden="1">{#N/A,#N/A,FALSE,"단가표지"}</definedName>
    <definedName name="ㅎㄹㅇㅎ" hidden="1">{#N/A,#N/A,FALSE,"단가표지"}</definedName>
    <definedName name="ㅎㄹㅇㅎㅇㅁㅎ" localSheetId="2" hidden="1">{#N/A,#N/A,FALSE,"운반시간"}</definedName>
    <definedName name="ㅎㄹㅇㅎㅇㅁㅎ" hidden="1">{#N/A,#N/A,FALSE,"운반시간"}</definedName>
    <definedName name="ㅎ륜ㅇㄹ" localSheetId="2" hidden="1">{#N/A,#N/A,FALSE,"2~8번"}</definedName>
    <definedName name="ㅎ륜ㅇㄹ" hidden="1">{#N/A,#N/A,FALSE,"2~8번"}</definedName>
    <definedName name="ㅎ르ㅓㅗㅓ" localSheetId="2" hidden="1">{#N/A,#N/A,FALSE,"골재소요량";#N/A,#N/A,FALSE,"골재소요량"}</definedName>
    <definedName name="ㅎ르ㅓㅗㅓ" hidden="1">{#N/A,#N/A,FALSE,"골재소요량";#N/A,#N/A,FALSE,"골재소요량"}</definedName>
    <definedName name="ㅎㅁㅇㅀㅁㅇ" localSheetId="2" hidden="1">{#N/A,#N/A,FALSE,"단가표지"}</definedName>
    <definedName name="ㅎㅁㅇㅀㅁㅇ" hidden="1">{#N/A,#N/A,FALSE,"단가표지"}</definedName>
    <definedName name="ㅎㅁㅇㅀㅁㅇㅎㅁ" localSheetId="2" hidden="1">{#N/A,#N/A,FALSE,"단가표지"}</definedName>
    <definedName name="ㅎㅁㅇㅀㅁㅇㅎㅁ" hidden="1">{#N/A,#N/A,FALSE,"단가표지"}</definedName>
    <definedName name="ㅎㅇㄴ" localSheetId="2" hidden="1">{#N/A,#N/A,FALSE,"단가표지"}</definedName>
    <definedName name="ㅎㅇㄴ" hidden="1">{#N/A,#N/A,FALSE,"단가표지"}</definedName>
    <definedName name="ㅎㅇㄹ홍ㄴ로" localSheetId="2" hidden="1">{#N/A,#N/A,FALSE,"단가표지"}</definedName>
    <definedName name="ㅎㅇㄹ홍ㄴ로" hidden="1">{#N/A,#N/A,FALSE,"단가표지"}</definedName>
    <definedName name="ㅎㅇㅁㄴㄹ" localSheetId="2" hidden="1">{#N/A,#N/A,FALSE,"운반시간"}</definedName>
    <definedName name="ㅎㅇㅁㄴㄹ" hidden="1">{#N/A,#N/A,FALSE,"운반시간"}</definedName>
    <definedName name="ㅎㅇㅁㅀㅁㅇ" localSheetId="2" hidden="1">{#N/A,#N/A,FALSE,"단가표지"}</definedName>
    <definedName name="ㅎㅇㅁㅀㅁㅇ" hidden="1">{#N/A,#N/A,FALSE,"단가표지"}</definedName>
    <definedName name="ㅎㅇㅀ" localSheetId="2" hidden="1">{#N/A,#N/A,FALSE,"단가표지"}</definedName>
    <definedName name="ㅎㅇㅀ" hidden="1">{#N/A,#N/A,FALSE,"단가표지"}</definedName>
    <definedName name="ㅎㅇㅀㄴ" localSheetId="2" hidden="1">{#N/A,#N/A,FALSE,"골재소요량";#N/A,#N/A,FALSE,"골재소요량"}</definedName>
    <definedName name="ㅎㅇㅀㄴ" hidden="1">{#N/A,#N/A,FALSE,"골재소요량";#N/A,#N/A,FALSE,"골재소요량"}</definedName>
    <definedName name="ㅎㅇㅀㅁㅇㅎㅁㅇ" localSheetId="2" hidden="1">{#N/A,#N/A,FALSE,"단가표지"}</definedName>
    <definedName name="ㅎㅇㅀㅁㅇㅎㅁㅇ" hidden="1">{#N/A,#N/A,FALSE,"단가표지"}</definedName>
    <definedName name="ㅎㅇㅀㅇㅀ" localSheetId="2" hidden="1">{#N/A,#N/A,FALSE,"표지목차"}</definedName>
    <definedName name="ㅎㅇㅀㅇㅀ" hidden="1">{#N/A,#N/A,FALSE,"표지목차"}</definedName>
    <definedName name="ㅎㅇㅀㅇㅀㅇ" localSheetId="2" hidden="1">{#N/A,#N/A,FALSE,"표지목차"}</definedName>
    <definedName name="ㅎㅇㅀㅇㅀㅇ" hidden="1">{#N/A,#N/A,FALSE,"표지목차"}</definedName>
    <definedName name="ㅎㅇㄻㅎㅁㅇ" localSheetId="2" hidden="1">{#N/A,#N/A,FALSE,"혼합골재"}</definedName>
    <definedName name="ㅎㅇㄻㅎㅁㅇ" hidden="1">{#N/A,#N/A,FALSE,"혼합골재"}</definedName>
    <definedName name="ㅎㅇㄻㅎㅁㅎㅁㅇ" localSheetId="2" hidden="1">{#N/A,#N/A,FALSE,"운반시간"}</definedName>
    <definedName name="ㅎㅇㄻㅎㅁㅎㅁㅇ" hidden="1">{#N/A,#N/A,FALSE,"운반시간"}</definedName>
    <definedName name="호우" localSheetId="2" hidden="1">{#N/A,#N/A,FALSE,"표지목차"}</definedName>
    <definedName name="호우" hidden="1">{#N/A,#N/A,FALSE,"표지목차"}</definedName>
    <definedName name="호우ㅗ" localSheetId="2" hidden="1">{#N/A,#N/A,FALSE,"단가표지"}</definedName>
    <definedName name="호우ㅗ" hidden="1">{#N/A,#N/A,FALSE,"단가표지"}</definedName>
    <definedName name="호ㅓㅎ" localSheetId="2" hidden="1">{#N/A,#N/A,FALSE,"표지목차"}</definedName>
    <definedName name="호ㅓㅎ" hidden="1">{#N/A,#N/A,FALSE,"표지목차"}</definedName>
    <definedName name="혼ㄹ" localSheetId="2" hidden="1">{#N/A,#N/A,FALSE,"운반시간"}</definedName>
    <definedName name="혼ㄹ" hidden="1">{#N/A,#N/A,FALSE,"운반시간"}</definedName>
    <definedName name="홀ㄴㄺㅅ" localSheetId="2" hidden="1">{#N/A,#N/A,FALSE,"단가표지"}</definedName>
    <definedName name="홀ㄴㄺㅅ" hidden="1">{#N/A,#N/A,FALSE,"단가표지"}</definedName>
    <definedName name="홓렁호ㅓ호" localSheetId="2" hidden="1">{#N/A,#N/A,FALSE,"단가표지"}</definedName>
    <definedName name="홓렁호ㅓ호" hidden="1">{#N/A,#N/A,FALSE,"단가표지"}</definedName>
    <definedName name="홓로" localSheetId="2" hidden="1">{#N/A,#N/A,FALSE,"단가표지"}</definedName>
    <definedName name="홓로" hidden="1">{#N/A,#N/A,FALSE,"단가표지"}</definedName>
    <definedName name="화허호ㅓ" localSheetId="2" hidden="1">{#N/A,#N/A,FALSE,"조골재"}</definedName>
    <definedName name="화허호ㅓ" hidden="1">{#N/A,#N/A,FALSE,"조골재"}</definedName>
    <definedName name="ㅎㄻㄹㅇㅎㅇㅁ" localSheetId="2" hidden="1">{#N/A,#N/A,FALSE,"혼합골재"}</definedName>
    <definedName name="ㅎㄻㄹㅇㅎㅇㅁ" hidden="1">{#N/A,#N/A,FALSE,"혼합골재"}</definedName>
    <definedName name="ㅎㄻㅇㅎㅁㅇㅎㅁㅇㅎ" localSheetId="2" hidden="1">{#N/A,#N/A,FALSE,"골재소요량";#N/A,#N/A,FALSE,"골재소요량"}</definedName>
    <definedName name="ㅎㄻㅇㅎㅁㅇㅎㅁㅇㅎ" hidden="1">{#N/A,#N/A,FALSE,"골재소요량";#N/A,#N/A,FALSE,"골재소요량"}</definedName>
    <definedName name="ㅀㅇㅁ" localSheetId="2" hidden="1">{#N/A,#N/A,FALSE,"골재소요량";#N/A,#N/A,FALSE,"골재소요량"}</definedName>
    <definedName name="ㅀㅇㅁ" hidden="1">{#N/A,#N/A,FALSE,"골재소요량";#N/A,#N/A,FALSE,"골재소요량"}</definedName>
    <definedName name="ㅏ허화" localSheetId="2" hidden="1">{#N/A,#N/A,FALSE,"골재소요량";#N/A,#N/A,FALSE,"골재소요량"}</definedName>
    <definedName name="ㅏ허화" hidden="1">{#N/A,#N/A,FALSE,"골재소요량";#N/A,#N/A,FALSE,"골재소요량"}</definedName>
    <definedName name="ㅏㅓ화호" localSheetId="2" hidden="1">{#N/A,#N/A,FALSE,"단가표지"}</definedName>
    <definedName name="ㅏㅓ화호" hidden="1">{#N/A,#N/A,FALSE,"단가표지"}</definedName>
    <definedName name="ㅏㅓㅗ라" localSheetId="2" hidden="1">{#N/A,#N/A,FALSE,"골재소요량";#N/A,#N/A,FALSE,"골재소요량"}</definedName>
    <definedName name="ㅏㅓㅗ라" hidden="1">{#N/A,#N/A,FALSE,"골재소요량";#N/A,#N/A,FALSE,"골재소요량"}</definedName>
    <definedName name="ㅏㅓㅗㅎ" localSheetId="2" hidden="1">{#N/A,#N/A,FALSE,"운반시간"}</definedName>
    <definedName name="ㅏㅓㅗㅎ" hidden="1">{#N/A,#N/A,FALSE,"운반시간"}</definedName>
    <definedName name="ㅏㅓㅗㅓ" localSheetId="2" hidden="1">{#N/A,#N/A,FALSE,"운반시간"}</definedName>
    <definedName name="ㅏㅓㅗㅓ" hidden="1">{#N/A,#N/A,FALSE,"운반시간"}</definedName>
    <definedName name="ㅏㅓㅘ허호" localSheetId="2" hidden="1">{#N/A,#N/A,FALSE,"단가표지"}</definedName>
    <definedName name="ㅏㅓㅘ허호" hidden="1">{#N/A,#N/A,FALSE,"단가표지"}</definedName>
    <definedName name="ㅏㅗㅓㅏ화호" localSheetId="2" hidden="1">{#N/A,#N/A,FALSE,"표지목차"}</definedName>
    <definedName name="ㅏㅗㅓㅏ화호" hidden="1">{#N/A,#N/A,FALSE,"표지목차"}</definedName>
    <definedName name="ㅏㅣ" localSheetId="2" hidden="1">{#N/A,#N/A,FALSE,"단가표지"}</definedName>
    <definedName name="ㅏㅣ" hidden="1">{#N/A,#N/A,FALSE,"단가표지"}</definedName>
    <definedName name="ㅓ롤" localSheetId="2" hidden="1">{#N/A,#N/A,FALSE,"골재소요량";#N/A,#N/A,FALSE,"골재소요량"}</definedName>
    <definedName name="ㅓ롤" hidden="1">{#N/A,#N/A,FALSE,"골재소요량";#N/A,#N/A,FALSE,"골재소요량"}</definedName>
    <definedName name="ㅓㅇㄴ" localSheetId="2" hidden="1">{#N/A,#N/A,FALSE,"단가표지"}</definedName>
    <definedName name="ㅓㅇㄴ" hidden="1">{#N/A,#N/A,FALSE,"단가표지"}</definedName>
    <definedName name="ㅓㅇ호ㅓㅇ호ㅓㅇ허" localSheetId="2" hidden="1">{#N/A,#N/A,FALSE,"표지목차"}</definedName>
    <definedName name="ㅓㅇ호ㅓㅇ호ㅓㅇ허" hidden="1">{#N/A,#N/A,FALSE,"표지목차"}</definedName>
    <definedName name="ㅓㅎ렁홍" localSheetId="2" hidden="1">{#N/A,#N/A,FALSE,"혼합골재"}</definedName>
    <definedName name="ㅓㅎ렁홍" hidden="1">{#N/A,#N/A,FALSE,"혼합골재"}</definedName>
    <definedName name="ㅓㅎ로ㅗㄴ" localSheetId="2" hidden="1">{#N/A,#N/A,FALSE,"단가표지"}</definedName>
    <definedName name="ㅓㅎ로ㅗㄴ" hidden="1">{#N/A,#N/A,FALSE,"단가표지"}</definedName>
    <definedName name="ㅓㅎㅇㅎ" localSheetId="2" hidden="1">{#N/A,#N/A,FALSE,"운반시간"}</definedName>
    <definedName name="ㅓㅎㅇㅎ" hidden="1">{#N/A,#N/A,FALSE,"운반시간"}</definedName>
    <definedName name="ㅓ호ㅓ" localSheetId="2" hidden="1">{#N/A,#N/A,FALSE,"표지목차"}</definedName>
    <definedName name="ㅓ호ㅓ" hidden="1">{#N/A,#N/A,FALSE,"표지목차"}</definedName>
    <definedName name="ㅓ호ㅓㅗㄹ" localSheetId="2" hidden="1">{#N/A,#N/A,FALSE,"단가표지"}</definedName>
    <definedName name="ㅓ호ㅓㅗㄹ" hidden="1">{#N/A,#N/A,FALSE,"단가표지"}</definedName>
    <definedName name="ㅓㅏ호" localSheetId="2" hidden="1">{#N/A,#N/A,FALSE,"단가표지"}</definedName>
    <definedName name="ㅓㅏ호" hidden="1">{#N/A,#N/A,FALSE,"단가표지"}</definedName>
    <definedName name="ㅓㅏ호ㅓ" localSheetId="2" hidden="1">{#N/A,#N/A,FALSE,"단가표지"}</definedName>
    <definedName name="ㅓㅏ호ㅓ" hidden="1">{#N/A,#N/A,FALSE,"단가표지"}</definedName>
    <definedName name="ㅓㅏㅗ하ㅗㅓㅎ" localSheetId="2" hidden="1">{#N/A,#N/A,FALSE,"혼합골재"}</definedName>
    <definedName name="ㅓㅏㅗ하ㅗㅓㅎ" hidden="1">{#N/A,#N/A,FALSE,"혼합골재"}</definedName>
    <definedName name="ㅓㅗ" localSheetId="2" hidden="1">{#N/A,#N/A,FALSE,"운반시간"}</definedName>
    <definedName name="ㅓㅗ" hidden="1">{#N/A,#N/A,FALSE,"운반시간"}</definedName>
    <definedName name="ㅓㅗㅎㄹ" localSheetId="2" hidden="1">{#N/A,#N/A,FALSE,"조골재"}</definedName>
    <definedName name="ㅓㅗㅎㄹ" hidden="1">{#N/A,#N/A,FALSE,"조골재"}</definedName>
    <definedName name="ㅓㅗㅎ러ㅗㅎ러" localSheetId="2" hidden="1">{#N/A,#N/A,FALSE,"혼합골재"}</definedName>
    <definedName name="ㅓㅗㅎ러ㅗㅎ러" hidden="1">{#N/A,#N/A,FALSE,"혼합골재"}</definedName>
    <definedName name="ㅓㅗㅎ러ㅗ호ㅓ" localSheetId="2" hidden="1">{#N/A,#N/A,FALSE,"단가표지"}</definedName>
    <definedName name="ㅓㅗㅎ러ㅗ호ㅓ" hidden="1">{#N/A,#N/A,FALSE,"단가표지"}</definedName>
    <definedName name="ㅓㅗ허" localSheetId="2" hidden="1">{#N/A,#N/A,FALSE,"조골재"}</definedName>
    <definedName name="ㅓㅗ허" hidden="1">{#N/A,#N/A,FALSE,"조골재"}</definedName>
    <definedName name="ㅓㅗ허ㅗㄹ" localSheetId="2" hidden="1">{#N/A,#N/A,FALSE,"운반시간"}</definedName>
    <definedName name="ㅓㅗ허ㅗㄹ" hidden="1">{#N/A,#N/A,FALSE,"운반시간"}</definedName>
    <definedName name="ㅓㅗ허ㅗㅎㄹ" localSheetId="2" hidden="1">{#N/A,#N/A,FALSE,"골재소요량";#N/A,#N/A,FALSE,"골재소요량"}</definedName>
    <definedName name="ㅓㅗ허ㅗㅎㄹ" hidden="1">{#N/A,#N/A,FALSE,"골재소요량";#N/A,#N/A,FALSE,"골재소요량"}</definedName>
    <definedName name="ㅓㅗ허ㅗㅎ러" localSheetId="2" hidden="1">{#N/A,#N/A,FALSE,"운반시간"}</definedName>
    <definedName name="ㅓㅗ허ㅗㅎ러" hidden="1">{#N/A,#N/A,FALSE,"운반시간"}</definedName>
    <definedName name="ㅓㅗ헝홍허" localSheetId="2" hidden="1">{#N/A,#N/A,FALSE,"골재소요량";#N/A,#N/A,FALSE,"골재소요량"}</definedName>
    <definedName name="ㅓㅗ헝홍허" hidden="1">{#N/A,#N/A,FALSE,"골재소요량";#N/A,#N/A,FALSE,"골재소요량"}</definedName>
    <definedName name="ㅓㅗ헣ㄹ" localSheetId="2" hidden="1">{#N/A,#N/A,FALSE,"단가표지"}</definedName>
    <definedName name="ㅓㅗ헣ㄹ" hidden="1">{#N/A,#N/A,FALSE,"단가표지"}</definedName>
    <definedName name="ㅓㅗ헣러" localSheetId="2" hidden="1">{#N/A,#N/A,FALSE,"단가표지"}</definedName>
    <definedName name="ㅓㅗ헣러" hidden="1">{#N/A,#N/A,FALSE,"단가표지"}</definedName>
    <definedName name="ㅓㅗ헣로ㅓ" localSheetId="2" hidden="1">{#N/A,#N/A,FALSE,"조골재"}</definedName>
    <definedName name="ㅓㅗ헣로ㅓ" hidden="1">{#N/A,#N/A,FALSE,"조골재"}</definedName>
    <definedName name="ㅓㅗ헣호ㅓ" localSheetId="2" hidden="1">{#N/A,#N/A,FALSE,"조골재"}</definedName>
    <definedName name="ㅓㅗ헣호ㅓ" hidden="1">{#N/A,#N/A,FALSE,"조골재"}</definedName>
    <definedName name="ㅓㅗ호" localSheetId="2" hidden="1">{#N/A,#N/A,FALSE,"단가표지"}</definedName>
    <definedName name="ㅓㅗ호" hidden="1">{#N/A,#N/A,FALSE,"단가표지"}</definedName>
    <definedName name="ㅓㅗ호ㅓㅗ" localSheetId="2" hidden="1">{#N/A,#N/A,FALSE,"2~8번"}</definedName>
    <definedName name="ㅓㅗ호ㅓㅗ" hidden="1">{#N/A,#N/A,FALSE,"2~8번"}</definedName>
    <definedName name="ㅓㅗㅗ" localSheetId="2" hidden="1">{#N/A,#N/A,FALSE,"단가표지"}</definedName>
    <definedName name="ㅓㅗㅗ" hidden="1">{#N/A,#N/A,FALSE,"단가표지"}</definedName>
    <definedName name="ㅓㅗㅗㅗ" localSheetId="2" hidden="1">{#N/A,#N/A,FALSE,"골재소요량";#N/A,#N/A,FALSE,"골재소요량"}</definedName>
    <definedName name="ㅓㅗㅗㅗ" hidden="1">{#N/A,#N/A,FALSE,"골재소요량";#N/A,#N/A,FALSE,"골재소요량"}</definedName>
    <definedName name="ㅗㄹㄶ" localSheetId="2" hidden="1">{#N/A,#N/A,FALSE,"조골재"}</definedName>
    <definedName name="ㅗㄹㄶ" hidden="1">{#N/A,#N/A,FALSE,"조골재"}</definedName>
    <definedName name="ㅗㅎ" localSheetId="2" hidden="1">{#N/A,#N/A,FALSE,"운반시간"}</definedName>
    <definedName name="ㅗㅎ" hidden="1">{#N/A,#N/A,FALSE,"운반시간"}</definedName>
    <definedName name="ㅗㅎㄴ" localSheetId="2" hidden="1">{#N/A,#N/A,FALSE,"골재소요량";#N/A,#N/A,FALSE,"골재소요량"}</definedName>
    <definedName name="ㅗㅎㄴ" hidden="1">{#N/A,#N/A,FALSE,"골재소요량";#N/A,#N/A,FALSE,"골재소요량"}</definedName>
    <definedName name="ㅗㅎㄴㄹ" localSheetId="2" hidden="1">{#N/A,#N/A,FALSE,"단가표지"}</definedName>
    <definedName name="ㅗㅎㄴㄹ" hidden="1">{#N/A,#N/A,FALSE,"단가표지"}</definedName>
    <definedName name="ㅗㅎ로ㅜ" localSheetId="2" hidden="1">{#N/A,#N/A,FALSE,"운반시간"}</definedName>
    <definedName name="ㅗㅎ로ㅜ" hidden="1">{#N/A,#N/A,FALSE,"운반시간"}</definedName>
    <definedName name="ㅗㅎ론ㄹ" localSheetId="2" hidden="1">{#N/A,#N/A,FALSE,"표지목차"}</definedName>
    <definedName name="ㅗㅎ론ㄹ" hidden="1">{#N/A,#N/A,FALSE,"표지목차"}</definedName>
    <definedName name="ㅗㅎ롯홋ㄱ" localSheetId="2" hidden="1">{#N/A,#N/A,FALSE,"혼합골재"}</definedName>
    <definedName name="ㅗㅎ롯홋ㄱ" hidden="1">{#N/A,#N/A,FALSE,"혼합골재"}</definedName>
    <definedName name="ㅗ허ㅗ" localSheetId="2" hidden="1">{#N/A,#N/A,FALSE,"단가표지"}</definedName>
    <definedName name="ㅗ허ㅗ" hidden="1">{#N/A,#N/A,FALSE,"단가표지"}</definedName>
    <definedName name="ㅗ호" localSheetId="2" hidden="1">{#N/A,#N/A,FALSE,"단가표지"}</definedName>
    <definedName name="ㅗ호" hidden="1">{#N/A,#N/A,FALSE,"단가표지"}</definedName>
    <definedName name="ㅗㅓ쇼ㅓㅕㄷ쇼ㅓㅕㄷㅅ" localSheetId="2" hidden="1">{#N/A,#N/A,FALSE,"단가표지"}</definedName>
    <definedName name="ㅗㅓ쇼ㅓㅕㄷ쇼ㅓㅕㄷㅅ" hidden="1">{#N/A,#N/A,FALSE,"단가표지"}</definedName>
    <definedName name="ㅗㅓㅎ로ㅓㅎㄹ" localSheetId="2" hidden="1">{#N/A,#N/A,FALSE,"표지목차"}</definedName>
    <definedName name="ㅗㅓㅎ로ㅓㅎㄹ" hidden="1">{#N/A,#N/A,FALSE,"표지목차"}</definedName>
    <definedName name="ㅗㅠㅍ" localSheetId="2" hidden="1">{#N/A,#N/A,FALSE,"혼합골재"}</definedName>
    <definedName name="ㅗㅠㅍ" hidden="1">{#N/A,#N/A,FALSE,"혼합골재"}</definedName>
    <definedName name="ㅜ" localSheetId="2" hidden="1">{#N/A,#N/A,FALSE,"CCTV"}</definedName>
    <definedName name="ㅜ" hidden="1">{#N/A,#N/A,FALSE,"CCTV"}</definedName>
    <definedName name="ㅜㄴㄱ" localSheetId="2" hidden="1">{#N/A,#N/A,FALSE,"운반시간"}</definedName>
    <definedName name="ㅜㄴㄱ" hidden="1">{#N/A,#N/A,FALSE,"운반시간"}</definedName>
    <definedName name="ㅜㄹ윤" localSheetId="2" hidden="1">{#N/A,#N/A,FALSE,"단가표지"}</definedName>
    <definedName name="ㅜㄹ윤" hidden="1">{#N/A,#N/A,FALSE,"단가표지"}</definedName>
    <definedName name="ㅜㅊㅍ" localSheetId="2" hidden="1">{#N/A,#N/A,FALSE,"표지목차"}</definedName>
    <definedName name="ㅜㅊㅍ" hidden="1">{#N/A,#N/A,FALSE,"표지목차"}</definedName>
    <definedName name="ㅜㅋㅊㅍ" localSheetId="2" hidden="1">{#N/A,#N/A,FALSE,"조골재"}</definedName>
    <definedName name="ㅜㅋㅊㅍ" hidden="1">{#N/A,#N/A,FALSE,"조골재"}</definedName>
    <definedName name="ㅜㅍ추ㅠ" localSheetId="2" hidden="1">{#N/A,#N/A,FALSE,"혼합골재"}</definedName>
    <definedName name="ㅜㅍ추ㅠ" hidden="1">{#N/A,#N/A,FALSE,"혼합골재"}</definedName>
    <definedName name="ㅜㅎㄴ" localSheetId="2" hidden="1">{#N/A,#N/A,FALSE,"골재소요량";#N/A,#N/A,FALSE,"골재소요량"}</definedName>
    <definedName name="ㅜㅎㄴ" hidden="1">{#N/A,#N/A,FALSE,"골재소요량";#N/A,#N/A,FALSE,"골재소요량"}</definedName>
    <definedName name="ㅜㅎㅅㄱㄴ" localSheetId="2" hidden="1">{#N/A,#N/A,FALSE,"단가표지"}</definedName>
    <definedName name="ㅜㅎㅅㄱㄴ" hidden="1">{#N/A,#N/A,FALSE,"단가표지"}</definedName>
    <definedName name="ㅜㅗㅇㅎㅌ" localSheetId="2" hidden="1">{#N/A,#N/A,FALSE,"단가표지"}</definedName>
    <definedName name="ㅜㅗㅇㅎㅌ" hidden="1">{#N/A,#N/A,FALSE,"단가표지"}</definedName>
    <definedName name="ㅜㅗㅇ훟" localSheetId="2" hidden="1">{#N/A,#N/A,FALSE,"단가표지"}</definedName>
    <definedName name="ㅜㅗㅇ훟" hidden="1">{#N/A,#N/A,FALSE,"단가표지"}</definedName>
    <definedName name="ㅜㅗㅗㅗㅇㅎ" localSheetId="2" hidden="1">{#N/A,#N/A,FALSE,"운반시간"}</definedName>
    <definedName name="ㅜㅗㅗㅗㅇㅎ" hidden="1">{#N/A,#N/A,FALSE,"운반시간"}</definedName>
    <definedName name="ㅜㅠ푸" localSheetId="2" hidden="1">{#N/A,#N/A,FALSE,"운반시간"}</definedName>
    <definedName name="ㅜㅠ푸" hidden="1">{#N/A,#N/A,FALSE,"운반시간"}</definedName>
    <definedName name="ㅜㅠㅠ" localSheetId="2" hidden="1">{#N/A,#N/A,FALSE,"골재소요량";#N/A,#N/A,FALSE,"골재소요량"}</definedName>
    <definedName name="ㅜㅠㅠ" hidden="1">{#N/A,#N/A,FALSE,"골재소요량";#N/A,#N/A,FALSE,"골재소요량"}</definedName>
    <definedName name="ㅝㅎㄹ" localSheetId="2" hidden="1">{#N/A,#N/A,FALSE,"단가표지"}</definedName>
    <definedName name="ㅝㅎㄹ" hidden="1">{#N/A,#N/A,FALSE,"단가표지"}</definedName>
    <definedName name="ㅠㄴ" localSheetId="2" hidden="1">{#N/A,#N/A,FALSE,"조골재"}</definedName>
    <definedName name="ㅠㄴ" hidden="1">{#N/A,#N/A,FALSE,"조골재"}</definedName>
    <definedName name="ㅠㄹㅇㄴㄴㄹㅇ" localSheetId="2" hidden="1">{#N/A,#N/A,FALSE,"단가표지"}</definedName>
    <definedName name="ㅠㄹㅇㄴㄴㄹㅇ" hidden="1">{#N/A,#N/A,FALSE,"단가표지"}</definedName>
    <definedName name="ㅠ뮤ㅐ" localSheetId="2" hidden="1">#REF!</definedName>
    <definedName name="ㅠ뮤ㅐ" hidden="1">#REF!</definedName>
    <definedName name="ㅠㅊㅌ퓿ㅌ" localSheetId="2" hidden="1">{#N/A,#N/A,FALSE,"2~8번"}</definedName>
    <definedName name="ㅠㅊㅌ퓿ㅌ" hidden="1">{#N/A,#N/A,FALSE,"2~8번"}</definedName>
    <definedName name="ㅠㅊㅍㅌ" localSheetId="2" hidden="1">{#N/A,#N/A,FALSE,"단가표지"}</definedName>
    <definedName name="ㅠㅊㅍㅌ" hidden="1">{#N/A,#N/A,FALSE,"단가표지"}</definedName>
    <definedName name="ㅠㅊㅍ튜" localSheetId="2" hidden="1">{#N/A,#N/A,FALSE,"단가표지"}</definedName>
    <definedName name="ㅠㅊㅍ튜" hidden="1">{#N/A,#N/A,FALSE,"단가표지"}</definedName>
    <definedName name="ㅠㅊㅍ튵ㅊ" localSheetId="2" hidden="1">{#N/A,#N/A,FALSE,"운반시간"}</definedName>
    <definedName name="ㅠㅊㅍ튵ㅊ" hidden="1">{#N/A,#N/A,FALSE,"운반시간"}</definedName>
    <definedName name="ㅠㅊ픁츄" localSheetId="2" hidden="1">{#N/A,#N/A,FALSE,"단가표지"}</definedName>
    <definedName name="ㅠㅊ픁츄" hidden="1">{#N/A,#N/A,FALSE,"단가표지"}</definedName>
    <definedName name="ㅠㅍ" localSheetId="2" hidden="1">{#N/A,#N/A,FALSE,"조골재"}</definedName>
    <definedName name="ㅠㅍ" hidden="1">{#N/A,#N/A,FALSE,"조골재"}</definedName>
    <definedName name="ㅠㅍㅊ" localSheetId="2" hidden="1">{#N/A,#N/A,FALSE,"단가표지"}</definedName>
    <definedName name="ㅠㅍㅊ" hidden="1">{#N/A,#N/A,FALSE,"단가표지"}</definedName>
    <definedName name="ㅠㅍㅊ튳" localSheetId="2" hidden="1">{#N/A,#N/A,FALSE,"표지목차"}</definedName>
    <definedName name="ㅠㅍㅊ튳" hidden="1">{#N/A,#N/A,FALSE,"표지목차"}</definedName>
    <definedName name="ㅠㅍㅊ튳ㅌㅍ" localSheetId="2" hidden="1">{#N/A,#N/A,FALSE,"조골재"}</definedName>
    <definedName name="ㅠㅍㅊ튳ㅌㅍ" hidden="1">{#N/A,#N/A,FALSE,"조골재"}</definedName>
    <definedName name="ㅠㅍㅊ튵" localSheetId="2" hidden="1">{#N/A,#N/A,FALSE,"골재소요량";#N/A,#N/A,FALSE,"골재소요량"}</definedName>
    <definedName name="ㅠㅍㅊ튵" hidden="1">{#N/A,#N/A,FALSE,"골재소요량";#N/A,#N/A,FALSE,"골재소요량"}</definedName>
    <definedName name="ㅠㅍㅊ튵ㅊ" localSheetId="2" hidden="1">{#N/A,#N/A,FALSE,"단가표지"}</definedName>
    <definedName name="ㅠㅍㅊ튵ㅊ" hidden="1">{#N/A,#N/A,FALSE,"단가표지"}</definedName>
    <definedName name="ㅠㅍ츄ㅜ" localSheetId="2" hidden="1">{#N/A,#N/A,FALSE,"단가표지"}</definedName>
    <definedName name="ㅠㅍ츄ㅜ" hidden="1">{#N/A,#N/A,FALSE,"단가표지"}</definedName>
    <definedName name="ㅠㅍ츛ㅍ" localSheetId="2" hidden="1">{#N/A,#N/A,FALSE,"혼합골재"}</definedName>
    <definedName name="ㅠㅍ츛ㅍ" hidden="1">{#N/A,#N/A,FALSE,"혼합골재"}</definedName>
    <definedName name="ㅠㅍ츜ㅊ" localSheetId="2" hidden="1">{#N/A,#N/A,FALSE,"2~8번"}</definedName>
    <definedName name="ㅠㅍ츜ㅊ" hidden="1">{#N/A,#N/A,FALSE,"2~8번"}</definedName>
    <definedName name="ㅠㅍ츜ㅍ" localSheetId="2" hidden="1">{#N/A,#N/A,FALSE,"조골재"}</definedName>
    <definedName name="ㅠㅍ츜ㅍ" hidden="1">{#N/A,#N/A,FALSE,"조골재"}</definedName>
    <definedName name="ㅠㅍ츝" localSheetId="2" hidden="1">{#N/A,#N/A,FALSE,"운반시간"}</definedName>
    <definedName name="ㅠㅍ츝" hidden="1">{#N/A,#N/A,FALSE,"운반시간"}</definedName>
    <definedName name="ㅠㅍ츝ㅊ" localSheetId="2" hidden="1">{#N/A,#N/A,FALSE,"단가표지"}</definedName>
    <definedName name="ㅠㅍ츝ㅊ" hidden="1">{#N/A,#N/A,FALSE,"단가표지"}</definedName>
    <definedName name="ㅠㅍㅋㅊㅍㅍ" localSheetId="2" hidden="1">{#N/A,#N/A,FALSE,"단가표지"}</definedName>
    <definedName name="ㅠㅍㅋㅊㅍㅍ" hidden="1">{#N/A,#N/A,FALSE,"단가표지"}</definedName>
    <definedName name="ㅠ퓿큨ㅊ" localSheetId="2" hidden="1">{#N/A,#N/A,FALSE,"단가표지"}</definedName>
    <definedName name="ㅠ퓿큨ㅊ" hidden="1">{#N/A,#N/A,FALSE,"단가표지"}</definedName>
    <definedName name="ㅠ픀ㅊ" localSheetId="2" hidden="1">{#N/A,#N/A,FALSE,"단가표지"}</definedName>
    <definedName name="ㅠ픀ㅊ" hidden="1">{#N/A,#N/A,FALSE,"단가표지"}</definedName>
    <definedName name="ㅠ픀ㅊㅍ" localSheetId="2" hidden="1">{#N/A,#N/A,FALSE,"표지목차"}</definedName>
    <definedName name="ㅠ픀ㅊㅍ" hidden="1">{#N/A,#N/A,FALSE,"표지목차"}</definedName>
    <definedName name="ㅠ픀ㅋㅊㅍ" localSheetId="2" hidden="1">{#N/A,#N/A,FALSE,"운반시간"}</definedName>
    <definedName name="ㅠ픀ㅋㅊㅍ" hidden="1">{#N/A,#N/A,FALSE,"운반시간"}</definedName>
    <definedName name="ㅣ허ㅏㅣ하" localSheetId="2" hidden="1">{#N/A,#N/A,FALSE,"혼합골재"}</definedName>
    <definedName name="ㅣ허ㅏㅣ하" hidden="1">{#N/A,#N/A,FALSE,"혼합골재"}</definedName>
    <definedName name="ㅣ허ㅣ호ㅓㅏ" localSheetId="2" hidden="1">{#N/A,#N/A,FALSE,"조골재"}</definedName>
    <definedName name="ㅣ허ㅣ호ㅓㅏ" hidden="1">{#N/A,#N/A,FALSE,"조골재"}</definedName>
    <definedName name="ㅣㅏ허ㅏ허ㅏ허ㅏ" localSheetId="2" hidden="1">{#N/A,#N/A,FALSE,"단가표지"}</definedName>
    <definedName name="ㅣㅏ허ㅏ허ㅏ허ㅏ" hidden="1">{#N/A,#N/A,FALSE,"단가표지"}</definedName>
    <definedName name="ㅣㅏㅓㅎ" localSheetId="2" hidden="1">{#N/A,#N/A,FALSE,"단가표지"}</definedName>
    <definedName name="ㅣㅏㅓㅎ" hidden="1">{#N/A,#N/A,FALSE,"단가표지"}</definedName>
    <definedName name="ㅣㅏㅓ허ㅏㅓㅎ" localSheetId="2" hidden="1">{#N/A,#N/A,FALSE,"표지목차"}</definedName>
    <definedName name="ㅣㅏㅓ허ㅏㅓㅎ" hidden="1">{#N/A,#N/A,FALSE,"표지목차"}</definedName>
    <definedName name="ㅣㅏㅓㅣ허ㅏㅎ" localSheetId="2" hidden="1">{#N/A,#N/A,FALSE,"골재소요량";#N/A,#N/A,FALSE,"골재소요량"}</definedName>
    <definedName name="ㅣㅏㅓㅣ허ㅏㅎ" hidden="1">{#N/A,#N/A,FALSE,"골재소요량";#N/A,#N/A,FALSE,"골재소요량"}</definedName>
    <definedName name="ㅣㅏㅓㅣ허ㅏㅏ허" localSheetId="2" hidden="1">{#N/A,#N/A,FALSE,"조골재"}</definedName>
    <definedName name="ㅣㅏㅓㅣ허ㅏㅏ허" hidden="1">{#N/A,#N/A,FALSE,"조골재"}</definedName>
    <definedName name="ㅣㅓㅏ허" localSheetId="2" hidden="1">{#N/A,#N/A,FALSE,"운반시간"}</definedName>
    <definedName name="ㅣㅓㅏ허" hidden="1">{#N/A,#N/A,FALSE,"운반시간"}</definedName>
    <definedName name="ㅣㅓㅏ허ㅏㅣ허ㅏㅓ" localSheetId="2" hidden="1">{#N/A,#N/A,FALSE,"운반시간"}</definedName>
    <definedName name="ㅣㅓㅏ허ㅏㅣ허ㅏㅓ" hidden="1">{#N/A,#N/A,FALSE,"운반시간"}</definedName>
    <definedName name="ㅣㅚㅓㅏ" localSheetId="2" hidden="1">{#N/A,#N/A,FALSE,"단가표지"}</definedName>
    <definedName name="ㅣㅚㅓㅏ" hidden="1">{#N/A,#N/A,FALSE,"단가표지"}</definedName>
    <definedName name="ㄳ" localSheetId="2" hidden="1">{#N/A,#N/A,FALSE,"단가표지"}</definedName>
    <definedName name="ㄳ" hidden="1">{#N/A,#N/A,FALSE,"단가표지"}</definedName>
    <definedName name="ㄶㅇㅀㄴㅇ" localSheetId="2" hidden="1">{#N/A,#N/A,FALSE,"표지목차"}</definedName>
    <definedName name="ㄶㅇㅀㄴㅇ" hidden="1">{#N/A,#N/A,FALSE,"표지목차"}</definedName>
    <definedName name="ㄻㄴㄹㅇㄴㅁ" localSheetId="2" hidden="1">{#N/A,#N/A,FALSE,"운반시간"}</definedName>
    <definedName name="ㄻㄴㄹㅇㄴㅁ" hidden="1">{#N/A,#N/A,FALSE,"운반시간"}</definedName>
    <definedName name="ㄻㄴㅇㅁㄴㅇ" localSheetId="2" hidden="1">{#N/A,#N/A,FALSE,"단가표지"}</definedName>
    <definedName name="ㄻㄴㅇㅁㄴㅇ" hidden="1">{#N/A,#N/A,FALSE,"단가표지"}</definedName>
    <definedName name="ㄻㄴㅇㄻㄴ" localSheetId="2" hidden="1">{#N/A,#N/A,FALSE,"단가표지"}</definedName>
    <definedName name="ㄻㄴㅇㄻㄴ" hidden="1">{#N/A,#N/A,FALSE,"단가표지"}</definedName>
    <definedName name="ㄻㄴㅇㄻㄴㄹ" localSheetId="2" hidden="1">{#N/A,#N/A,FALSE,"2~8번"}</definedName>
    <definedName name="ㄻㄴㅇㄻㄴㄹ" hidden="1">{#N/A,#N/A,FALSE,"2~8번"}</definedName>
    <definedName name="ㄻㄴㅇㄻㄴㅁ" localSheetId="2" hidden="1">{#N/A,#N/A,FALSE,"운반시간"}</definedName>
    <definedName name="ㄻㄴㅇㄻㄴㅁ" hidden="1">{#N/A,#N/A,FALSE,"운반시간"}</definedName>
    <definedName name="ㄻㄴㅇㄻㄴㅇ" localSheetId="2" hidden="1">{#N/A,#N/A,FALSE,"단가표지"}</definedName>
    <definedName name="ㄻㄴㅇㄻㄴㅇ" hidden="1">{#N/A,#N/A,FALSE,"단가표지"}</definedName>
    <definedName name="ㄻㄴㅇㄻㄴㅇㄻ" localSheetId="2" hidden="1">{#N/A,#N/A,FALSE,"표지목차"}</definedName>
    <definedName name="ㄻㄴㅇㄻㄴㅇㄻ" hidden="1">{#N/A,#N/A,FALSE,"표지목차"}</definedName>
    <definedName name="ㄻㄴㅇㄻㄴㄻㄴㅁㄴ" localSheetId="2" hidden="1">{#N/A,#N/A,FALSE,"단가표지"}</definedName>
    <definedName name="ㄻㄴㅇㄻㄴㄻㄴㅁㄴ" hidden="1">{#N/A,#N/A,FALSE,"단가표지"}</definedName>
    <definedName name="ㄻㅁ" localSheetId="2" hidden="1">{#N/A,#N/A,FALSE,"조골재"}</definedName>
    <definedName name="ㄻㅁ" hidden="1">{#N/A,#N/A,FALSE,"조골재"}</definedName>
    <definedName name="估價單" localSheetId="2" hidden="1">{#N/A,#N/A,FALSE,"估價單  (3)"}</definedName>
    <definedName name="估價單" hidden="1">{#N/A,#N/A,FALSE,"估價單  (3)"}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4" i="9" l="1"/>
  <c r="R93" i="9"/>
  <c r="C93" i="9"/>
  <c r="B93" i="9"/>
  <c r="R92" i="9"/>
  <c r="C92" i="9"/>
  <c r="B92" i="9"/>
  <c r="N80" i="9"/>
  <c r="N79" i="9"/>
  <c r="N58" i="9"/>
  <c r="R88" i="9"/>
  <c r="N34" i="9"/>
  <c r="N56" i="9"/>
  <c r="N55" i="9"/>
  <c r="R91" i="9"/>
  <c r="R90" i="9"/>
  <c r="R89" i="9"/>
  <c r="F60" i="3"/>
  <c r="G59" i="3"/>
  <c r="F58" i="3"/>
  <c r="F57" i="3"/>
  <c r="F56" i="3"/>
  <c r="G56" i="3"/>
  <c r="C91" i="9"/>
  <c r="C80" i="9"/>
  <c r="C79" i="9"/>
  <c r="C90" i="9"/>
  <c r="U91" i="9"/>
  <c r="U80" i="9"/>
  <c r="U79" i="9"/>
  <c r="U90" i="9"/>
  <c r="U89" i="9"/>
  <c r="C89" i="9"/>
  <c r="S49" i="3" a="1"/>
  <c r="T49" i="3" s="1"/>
  <c r="I49" i="3"/>
  <c r="H49" i="3"/>
  <c r="G49" i="3"/>
  <c r="J49" i="3" s="1"/>
  <c r="N57" i="9"/>
  <c r="N78" i="9"/>
  <c r="I47" i="3"/>
  <c r="F51" i="3"/>
  <c r="D51" i="3"/>
  <c r="U88" i="9"/>
  <c r="C88" i="9"/>
  <c r="U32" i="9"/>
  <c r="N76" i="9"/>
  <c r="N77" i="9"/>
  <c r="N53" i="9"/>
  <c r="N75" i="9"/>
  <c r="V73" i="9"/>
  <c r="V74" i="9"/>
  <c r="N54" i="9"/>
  <c r="N73" i="9"/>
  <c r="N74" i="9"/>
  <c r="U77" i="9"/>
  <c r="S49" i="3" l="1"/>
  <c r="N70" i="9"/>
  <c r="N48" i="9"/>
  <c r="S48" i="3" a="1"/>
  <c r="S48" i="3" s="1"/>
  <c r="I48" i="3"/>
  <c r="H48" i="3"/>
  <c r="G48" i="3"/>
  <c r="U54" i="9"/>
  <c r="V50" i="9"/>
  <c r="C73" i="9"/>
  <c r="U74" i="9"/>
  <c r="U76" i="9"/>
  <c r="U73" i="9"/>
  <c r="C76" i="9"/>
  <c r="C74" i="9"/>
  <c r="C94" i="9"/>
  <c r="C59" i="9"/>
  <c r="V59" i="9"/>
  <c r="C12" i="9"/>
  <c r="C32" i="9"/>
  <c r="N32" i="9"/>
  <c r="V32" i="9"/>
  <c r="G1" i="10"/>
  <c r="D6" i="10"/>
  <c r="D5" i="10"/>
  <c r="A4" i="10"/>
  <c r="D3" i="10"/>
  <c r="D2" i="10"/>
  <c r="D1" i="10"/>
  <c r="C51" i="9"/>
  <c r="C66" i="9"/>
  <c r="C58" i="9"/>
  <c r="C67" i="9"/>
  <c r="C55" i="9"/>
  <c r="C68" i="9"/>
  <c r="C81" i="9"/>
  <c r="C82" i="9"/>
  <c r="C39" i="9"/>
  <c r="C83" i="9"/>
  <c r="C49" i="9"/>
  <c r="C47" i="9"/>
  <c r="C71" i="9"/>
  <c r="C72" i="9"/>
  <c r="C40" i="9"/>
  <c r="C84" i="9"/>
  <c r="C56" i="9"/>
  <c r="C69" i="9"/>
  <c r="C50" i="9"/>
  <c r="C54" i="9"/>
  <c r="C75" i="9"/>
  <c r="C85" i="9"/>
  <c r="C70" i="9"/>
  <c r="C86" i="9"/>
  <c r="C87" i="9"/>
  <c r="C13" i="9"/>
  <c r="C14" i="9"/>
  <c r="C15" i="9"/>
  <c r="C16" i="9"/>
  <c r="C17" i="9"/>
  <c r="C18" i="9"/>
  <c r="C19" i="9"/>
  <c r="C20" i="9"/>
  <c r="C21" i="9"/>
  <c r="C22" i="9"/>
  <c r="C23" i="9"/>
  <c r="C24" i="9"/>
  <c r="C25" i="9"/>
  <c r="C33" i="9"/>
  <c r="C34" i="9"/>
  <c r="C35" i="9"/>
  <c r="C36" i="9"/>
  <c r="C41" i="9"/>
  <c r="C27" i="9"/>
  <c r="C42" i="9"/>
  <c r="C26" i="9"/>
  <c r="C43" i="9"/>
  <c r="C44" i="9"/>
  <c r="C37" i="9"/>
  <c r="C29" i="9"/>
  <c r="C45" i="9"/>
  <c r="C30" i="9"/>
  <c r="C28" i="9"/>
  <c r="C38" i="9"/>
  <c r="C31" i="9"/>
  <c r="C46" i="9"/>
  <c r="C60" i="9"/>
  <c r="C61" i="9"/>
  <c r="C62" i="9"/>
  <c r="C53" i="9"/>
  <c r="C78" i="9"/>
  <c r="C63" i="9"/>
  <c r="C64" i="9"/>
  <c r="C65" i="9"/>
  <c r="C52" i="9"/>
  <c r="C48" i="9"/>
  <c r="C57" i="9"/>
  <c r="C11" i="9"/>
  <c r="H88" i="5"/>
  <c r="F88" i="5" a="1"/>
  <c r="F88" i="5"/>
  <c r="P86" i="5"/>
  <c r="O86" i="5"/>
  <c r="N86" i="5"/>
  <c r="M86" i="5"/>
  <c r="L86" i="5"/>
  <c r="K86" i="5"/>
  <c r="J86" i="5"/>
  <c r="I86" i="5"/>
  <c r="H86" i="5"/>
  <c r="G86" i="5"/>
  <c r="F86" i="5"/>
  <c r="E86" i="5"/>
  <c r="D86" i="5"/>
  <c r="C86" i="5"/>
  <c r="P84" i="5"/>
  <c r="O84" i="5"/>
  <c r="N84" i="5"/>
  <c r="M84" i="5"/>
  <c r="L84" i="5"/>
  <c r="K84" i="5"/>
  <c r="J84" i="5"/>
  <c r="I84" i="5"/>
  <c r="H84" i="5"/>
  <c r="G84" i="5"/>
  <c r="F84" i="5"/>
  <c r="E84" i="5"/>
  <c r="D84" i="5"/>
  <c r="C84" i="5"/>
  <c r="P83" i="5"/>
  <c r="O83" i="5"/>
  <c r="N83" i="5"/>
  <c r="M83" i="5"/>
  <c r="L83" i="5"/>
  <c r="K83" i="5"/>
  <c r="J83" i="5"/>
  <c r="I83" i="5"/>
  <c r="H83" i="5"/>
  <c r="G83" i="5"/>
  <c r="F83" i="5"/>
  <c r="E83" i="5"/>
  <c r="D83" i="5"/>
  <c r="C83" i="5"/>
  <c r="P82" i="5"/>
  <c r="O82" i="5"/>
  <c r="N82" i="5"/>
  <c r="M82" i="5"/>
  <c r="L82" i="5"/>
  <c r="K82" i="5"/>
  <c r="J82" i="5"/>
  <c r="I82" i="5"/>
  <c r="H82" i="5"/>
  <c r="G82" i="5"/>
  <c r="F82" i="5"/>
  <c r="E82" i="5"/>
  <c r="D82" i="5"/>
  <c r="C82" i="5"/>
  <c r="P81" i="5"/>
  <c r="O81" i="5"/>
  <c r="N81" i="5"/>
  <c r="M81" i="5"/>
  <c r="L81" i="5"/>
  <c r="K81" i="5"/>
  <c r="J81" i="5"/>
  <c r="I81" i="5"/>
  <c r="H81" i="5"/>
  <c r="G81" i="5"/>
  <c r="F81" i="5"/>
  <c r="E81" i="5"/>
  <c r="D81" i="5"/>
  <c r="C81" i="5"/>
  <c r="P80" i="5"/>
  <c r="O80" i="5"/>
  <c r="N80" i="5"/>
  <c r="M80" i="5"/>
  <c r="L80" i="5"/>
  <c r="K80" i="5"/>
  <c r="J80" i="5"/>
  <c r="I80" i="5"/>
  <c r="H80" i="5"/>
  <c r="G80" i="5"/>
  <c r="F80" i="5"/>
  <c r="E80" i="5"/>
  <c r="D80" i="5"/>
  <c r="C80" i="5"/>
  <c r="P79" i="5"/>
  <c r="O79" i="5"/>
  <c r="N79" i="5"/>
  <c r="M79" i="5"/>
  <c r="L79" i="5"/>
  <c r="K79" i="5"/>
  <c r="J79" i="5"/>
  <c r="I79" i="5"/>
  <c r="H79" i="5"/>
  <c r="G79" i="5"/>
  <c r="F79" i="5"/>
  <c r="E79" i="5"/>
  <c r="D79" i="5"/>
  <c r="C79" i="5"/>
  <c r="P77" i="5"/>
  <c r="O77" i="5"/>
  <c r="N77" i="5"/>
  <c r="M77" i="5"/>
  <c r="L77" i="5"/>
  <c r="K77" i="5"/>
  <c r="J77" i="5"/>
  <c r="I77" i="5"/>
  <c r="H77" i="5"/>
  <c r="G77" i="5"/>
  <c r="F77" i="5"/>
  <c r="E77" i="5"/>
  <c r="D77" i="5"/>
  <c r="C77" i="5"/>
  <c r="P76" i="5"/>
  <c r="O76" i="5"/>
  <c r="N76" i="5"/>
  <c r="M76" i="5"/>
  <c r="L76" i="5"/>
  <c r="K76" i="5"/>
  <c r="J76" i="5"/>
  <c r="I76" i="5"/>
  <c r="H76" i="5"/>
  <c r="G76" i="5"/>
  <c r="F76" i="5"/>
  <c r="E76" i="5"/>
  <c r="D76" i="5"/>
  <c r="C76" i="5"/>
  <c r="P75" i="5"/>
  <c r="O75" i="5"/>
  <c r="N75" i="5"/>
  <c r="M75" i="5"/>
  <c r="L75" i="5"/>
  <c r="K75" i="5"/>
  <c r="J75" i="5"/>
  <c r="I75" i="5"/>
  <c r="H75" i="5"/>
  <c r="G75" i="5"/>
  <c r="F75" i="5"/>
  <c r="E75" i="5"/>
  <c r="D75" i="5"/>
  <c r="C75" i="5"/>
  <c r="P74" i="5"/>
  <c r="O74" i="5"/>
  <c r="N74" i="5"/>
  <c r="M74" i="5"/>
  <c r="L74" i="5"/>
  <c r="K74" i="5"/>
  <c r="J74" i="5"/>
  <c r="I74" i="5"/>
  <c r="H74" i="5"/>
  <c r="G74" i="5"/>
  <c r="F74" i="5"/>
  <c r="E74" i="5"/>
  <c r="D74" i="5"/>
  <c r="C74" i="5"/>
  <c r="P73" i="5"/>
  <c r="O73" i="5"/>
  <c r="N73" i="5"/>
  <c r="M73" i="5"/>
  <c r="L73" i="5"/>
  <c r="K73" i="5"/>
  <c r="J73" i="5"/>
  <c r="I73" i="5"/>
  <c r="H73" i="5"/>
  <c r="G73" i="5"/>
  <c r="F73" i="5"/>
  <c r="E73" i="5"/>
  <c r="D73" i="5"/>
  <c r="C73" i="5"/>
  <c r="P72" i="5"/>
  <c r="O72" i="5"/>
  <c r="N72" i="5"/>
  <c r="M72" i="5"/>
  <c r="L72" i="5"/>
  <c r="K72" i="5"/>
  <c r="J72" i="5"/>
  <c r="I72" i="5"/>
  <c r="H72" i="5"/>
  <c r="G72" i="5"/>
  <c r="F72" i="5"/>
  <c r="E72" i="5"/>
  <c r="D72" i="5"/>
  <c r="C72" i="5"/>
  <c r="P71" i="5"/>
  <c r="O71" i="5"/>
  <c r="N71" i="5"/>
  <c r="M71" i="5"/>
  <c r="L71" i="5"/>
  <c r="K71" i="5"/>
  <c r="J71" i="5"/>
  <c r="I71" i="5"/>
  <c r="H71" i="5"/>
  <c r="G71" i="5"/>
  <c r="F71" i="5"/>
  <c r="E71" i="5"/>
  <c r="D71" i="5"/>
  <c r="C71" i="5"/>
  <c r="P70" i="5"/>
  <c r="O70" i="5"/>
  <c r="N70" i="5"/>
  <c r="M70" i="5"/>
  <c r="L70" i="5"/>
  <c r="K70" i="5"/>
  <c r="J70" i="5"/>
  <c r="I70" i="5"/>
  <c r="H70" i="5"/>
  <c r="G70" i="5"/>
  <c r="F70" i="5"/>
  <c r="E70" i="5"/>
  <c r="D70" i="5"/>
  <c r="C70" i="5"/>
  <c r="P69" i="5"/>
  <c r="O69" i="5"/>
  <c r="N69" i="5"/>
  <c r="M69" i="5"/>
  <c r="L69" i="5"/>
  <c r="K69" i="5"/>
  <c r="J69" i="5"/>
  <c r="I69" i="5"/>
  <c r="H69" i="5"/>
  <c r="G69" i="5"/>
  <c r="F69" i="5"/>
  <c r="E69" i="5"/>
  <c r="D69" i="5"/>
  <c r="C69" i="5"/>
  <c r="P68" i="5"/>
  <c r="O68" i="5"/>
  <c r="N68" i="5"/>
  <c r="M68" i="5"/>
  <c r="L68" i="5"/>
  <c r="K68" i="5"/>
  <c r="J68" i="5"/>
  <c r="I68" i="5"/>
  <c r="H68" i="5"/>
  <c r="G68" i="5"/>
  <c r="F68" i="5"/>
  <c r="E68" i="5"/>
  <c r="D68" i="5"/>
  <c r="C68" i="5"/>
  <c r="P67" i="5"/>
  <c r="O67" i="5"/>
  <c r="N67" i="5"/>
  <c r="M67" i="5"/>
  <c r="L67" i="5"/>
  <c r="K67" i="5"/>
  <c r="J67" i="5"/>
  <c r="I67" i="5"/>
  <c r="H67" i="5"/>
  <c r="G67" i="5"/>
  <c r="F67" i="5"/>
  <c r="E67" i="5"/>
  <c r="D67" i="5"/>
  <c r="C67" i="5"/>
  <c r="P66" i="5"/>
  <c r="O66" i="5"/>
  <c r="N66" i="5"/>
  <c r="M66" i="5"/>
  <c r="L66" i="5"/>
  <c r="K66" i="5"/>
  <c r="J66" i="5"/>
  <c r="I66" i="5"/>
  <c r="H66" i="5"/>
  <c r="G66" i="5"/>
  <c r="F66" i="5"/>
  <c r="E66" i="5"/>
  <c r="D66" i="5"/>
  <c r="C66" i="5"/>
  <c r="P65" i="5"/>
  <c r="O65" i="5"/>
  <c r="N65" i="5"/>
  <c r="M65" i="5"/>
  <c r="L65" i="5"/>
  <c r="K65" i="5"/>
  <c r="J65" i="5"/>
  <c r="I65" i="5"/>
  <c r="H65" i="5"/>
  <c r="G65" i="5"/>
  <c r="F65" i="5"/>
  <c r="E65" i="5"/>
  <c r="D65" i="5"/>
  <c r="C65" i="5"/>
  <c r="P64" i="5"/>
  <c r="O64" i="5"/>
  <c r="N64" i="5"/>
  <c r="M64" i="5"/>
  <c r="L64" i="5"/>
  <c r="K64" i="5"/>
  <c r="J64" i="5"/>
  <c r="I64" i="5"/>
  <c r="H64" i="5"/>
  <c r="G64" i="5"/>
  <c r="F64" i="5"/>
  <c r="E64" i="5"/>
  <c r="D64" i="5"/>
  <c r="C64" i="5"/>
  <c r="P63" i="5"/>
  <c r="O63" i="5"/>
  <c r="N63" i="5"/>
  <c r="M63" i="5"/>
  <c r="L63" i="5"/>
  <c r="K63" i="5"/>
  <c r="J63" i="5"/>
  <c r="I63" i="5"/>
  <c r="H63" i="5"/>
  <c r="G63" i="5"/>
  <c r="F63" i="5"/>
  <c r="E63" i="5"/>
  <c r="D63" i="5"/>
  <c r="C63" i="5"/>
  <c r="P62" i="5"/>
  <c r="O62" i="5"/>
  <c r="N62" i="5"/>
  <c r="M62" i="5"/>
  <c r="L62" i="5"/>
  <c r="K62" i="5"/>
  <c r="J62" i="5"/>
  <c r="I62" i="5"/>
  <c r="H62" i="5"/>
  <c r="G62" i="5"/>
  <c r="F62" i="5"/>
  <c r="E62" i="5"/>
  <c r="D62" i="5"/>
  <c r="C62" i="5"/>
  <c r="P61" i="5"/>
  <c r="O61" i="5"/>
  <c r="N61" i="5"/>
  <c r="M61" i="5"/>
  <c r="L61" i="5"/>
  <c r="K61" i="5"/>
  <c r="J61" i="5"/>
  <c r="I61" i="5"/>
  <c r="H61" i="5"/>
  <c r="G61" i="5"/>
  <c r="F61" i="5"/>
  <c r="E61" i="5"/>
  <c r="D61" i="5"/>
  <c r="C61" i="5"/>
  <c r="P60" i="5"/>
  <c r="O60" i="5"/>
  <c r="N60" i="5"/>
  <c r="M60" i="5"/>
  <c r="L60" i="5"/>
  <c r="K60" i="5"/>
  <c r="J60" i="5"/>
  <c r="I60" i="5"/>
  <c r="H60" i="5"/>
  <c r="G60" i="5"/>
  <c r="F60" i="5"/>
  <c r="E60" i="5"/>
  <c r="D60" i="5"/>
  <c r="C60" i="5"/>
  <c r="P59" i="5"/>
  <c r="O59" i="5"/>
  <c r="N59" i="5"/>
  <c r="M59" i="5"/>
  <c r="L59" i="5"/>
  <c r="K59" i="5"/>
  <c r="J59" i="5"/>
  <c r="I59" i="5"/>
  <c r="H59" i="5"/>
  <c r="G59" i="5"/>
  <c r="F59" i="5"/>
  <c r="E59" i="5"/>
  <c r="D59" i="5"/>
  <c r="C59" i="5"/>
  <c r="P58" i="5"/>
  <c r="O58" i="5"/>
  <c r="N58" i="5"/>
  <c r="M58" i="5"/>
  <c r="L58" i="5"/>
  <c r="K58" i="5"/>
  <c r="J58" i="5"/>
  <c r="I58" i="5"/>
  <c r="H58" i="5"/>
  <c r="G58" i="5"/>
  <c r="F58" i="5"/>
  <c r="E58" i="5"/>
  <c r="D58" i="5"/>
  <c r="C58" i="5"/>
  <c r="P57" i="5"/>
  <c r="O57" i="5"/>
  <c r="N57" i="5"/>
  <c r="M57" i="5"/>
  <c r="L57" i="5"/>
  <c r="K57" i="5"/>
  <c r="J57" i="5"/>
  <c r="I57" i="5"/>
  <c r="H57" i="5"/>
  <c r="G57" i="5"/>
  <c r="F57" i="5"/>
  <c r="E57" i="5"/>
  <c r="D57" i="5"/>
  <c r="C57" i="5"/>
  <c r="P56" i="5"/>
  <c r="O56" i="5"/>
  <c r="N56" i="5"/>
  <c r="M56" i="5"/>
  <c r="L56" i="5"/>
  <c r="K56" i="5"/>
  <c r="J56" i="5"/>
  <c r="I56" i="5"/>
  <c r="H56" i="5"/>
  <c r="G56" i="5"/>
  <c r="F56" i="5"/>
  <c r="E56" i="5"/>
  <c r="D56" i="5"/>
  <c r="C56" i="5"/>
  <c r="P55" i="5"/>
  <c r="O55" i="5"/>
  <c r="N55" i="5"/>
  <c r="M55" i="5"/>
  <c r="L55" i="5"/>
  <c r="K55" i="5"/>
  <c r="J55" i="5"/>
  <c r="I55" i="5"/>
  <c r="H55" i="5"/>
  <c r="G55" i="5"/>
  <c r="F55" i="5"/>
  <c r="E55" i="5"/>
  <c r="D55" i="5"/>
  <c r="C55" i="5"/>
  <c r="P54" i="5"/>
  <c r="O54" i="5"/>
  <c r="N54" i="5"/>
  <c r="M54" i="5"/>
  <c r="L54" i="5"/>
  <c r="K54" i="5"/>
  <c r="J54" i="5"/>
  <c r="I54" i="5"/>
  <c r="H54" i="5"/>
  <c r="G54" i="5"/>
  <c r="F54" i="5"/>
  <c r="E54" i="5"/>
  <c r="D54" i="5"/>
  <c r="C54" i="5"/>
  <c r="P53" i="5"/>
  <c r="O53" i="5"/>
  <c r="N53" i="5"/>
  <c r="M53" i="5"/>
  <c r="L53" i="5"/>
  <c r="K53" i="5"/>
  <c r="J53" i="5"/>
  <c r="I53" i="5"/>
  <c r="H53" i="5"/>
  <c r="G53" i="5"/>
  <c r="F53" i="5"/>
  <c r="E53" i="5"/>
  <c r="D53" i="5"/>
  <c r="C53" i="5"/>
  <c r="P52" i="5"/>
  <c r="O52" i="5"/>
  <c r="N52" i="5"/>
  <c r="M52" i="5"/>
  <c r="L52" i="5"/>
  <c r="K52" i="5"/>
  <c r="J52" i="5"/>
  <c r="I52" i="5"/>
  <c r="H52" i="5"/>
  <c r="G52" i="5"/>
  <c r="F52" i="5"/>
  <c r="E52" i="5"/>
  <c r="D52" i="5"/>
  <c r="C52" i="5"/>
  <c r="P51" i="5"/>
  <c r="O51" i="5"/>
  <c r="N51" i="5"/>
  <c r="M51" i="5"/>
  <c r="L51" i="5"/>
  <c r="K51" i="5"/>
  <c r="J51" i="5"/>
  <c r="I51" i="5"/>
  <c r="H51" i="5"/>
  <c r="G51" i="5"/>
  <c r="F51" i="5"/>
  <c r="E51" i="5"/>
  <c r="D51" i="5"/>
  <c r="C51" i="5"/>
  <c r="P50" i="5"/>
  <c r="O50" i="5"/>
  <c r="N50" i="5"/>
  <c r="M50" i="5"/>
  <c r="L50" i="5"/>
  <c r="K50" i="5"/>
  <c r="J50" i="5"/>
  <c r="I50" i="5"/>
  <c r="H50" i="5"/>
  <c r="G50" i="5"/>
  <c r="F50" i="5"/>
  <c r="E50" i="5"/>
  <c r="D50" i="5"/>
  <c r="C50" i="5"/>
  <c r="P48" i="5"/>
  <c r="O48" i="5"/>
  <c r="N48" i="5"/>
  <c r="M48" i="5"/>
  <c r="L48" i="5"/>
  <c r="K48" i="5"/>
  <c r="J48" i="5"/>
  <c r="I48" i="5"/>
  <c r="H48" i="5"/>
  <c r="G48" i="5"/>
  <c r="F48" i="5"/>
  <c r="E48" i="5"/>
  <c r="D48" i="5"/>
  <c r="C48" i="5"/>
  <c r="P47" i="5"/>
  <c r="O47" i="5"/>
  <c r="N47" i="5"/>
  <c r="M47" i="5"/>
  <c r="L47" i="5"/>
  <c r="K47" i="5"/>
  <c r="J47" i="5"/>
  <c r="I47" i="5"/>
  <c r="H47" i="5"/>
  <c r="G47" i="5"/>
  <c r="F47" i="5"/>
  <c r="E47" i="5"/>
  <c r="D47" i="5"/>
  <c r="C47" i="5"/>
  <c r="P46" i="5"/>
  <c r="O46" i="5"/>
  <c r="N46" i="5"/>
  <c r="M46" i="5"/>
  <c r="L46" i="5"/>
  <c r="K46" i="5"/>
  <c r="J46" i="5"/>
  <c r="I46" i="5"/>
  <c r="H46" i="5"/>
  <c r="G46" i="5"/>
  <c r="F46" i="5"/>
  <c r="E46" i="5"/>
  <c r="D46" i="5"/>
  <c r="C46" i="5"/>
  <c r="P45" i="5"/>
  <c r="O45" i="5"/>
  <c r="N45" i="5"/>
  <c r="M45" i="5"/>
  <c r="L45" i="5"/>
  <c r="K45" i="5"/>
  <c r="J45" i="5"/>
  <c r="I45" i="5"/>
  <c r="H45" i="5"/>
  <c r="G45" i="5"/>
  <c r="F45" i="5"/>
  <c r="E45" i="5"/>
  <c r="D45" i="5"/>
  <c r="C45" i="5"/>
  <c r="P44" i="5"/>
  <c r="O44" i="5"/>
  <c r="N44" i="5"/>
  <c r="M44" i="5"/>
  <c r="L44" i="5"/>
  <c r="K44" i="5"/>
  <c r="J44" i="5"/>
  <c r="I44" i="5"/>
  <c r="H44" i="5"/>
  <c r="G44" i="5"/>
  <c r="F44" i="5"/>
  <c r="E44" i="5"/>
  <c r="D44" i="5"/>
  <c r="C44" i="5"/>
  <c r="P43" i="5"/>
  <c r="O43" i="5"/>
  <c r="N43" i="5"/>
  <c r="M43" i="5"/>
  <c r="L43" i="5"/>
  <c r="K43" i="5"/>
  <c r="J43" i="5"/>
  <c r="I43" i="5"/>
  <c r="H43" i="5"/>
  <c r="G43" i="5"/>
  <c r="F43" i="5"/>
  <c r="E43" i="5"/>
  <c r="D43" i="5"/>
  <c r="C43" i="5"/>
  <c r="P42" i="5"/>
  <c r="O42" i="5"/>
  <c r="N42" i="5"/>
  <c r="M42" i="5"/>
  <c r="L42" i="5"/>
  <c r="K42" i="5"/>
  <c r="J42" i="5"/>
  <c r="I42" i="5"/>
  <c r="H42" i="5"/>
  <c r="G42" i="5"/>
  <c r="F42" i="5"/>
  <c r="E42" i="5"/>
  <c r="D42" i="5"/>
  <c r="C42" i="5"/>
  <c r="P41" i="5"/>
  <c r="O41" i="5"/>
  <c r="N41" i="5"/>
  <c r="M41" i="5"/>
  <c r="L41" i="5"/>
  <c r="K41" i="5"/>
  <c r="J41" i="5"/>
  <c r="I41" i="5"/>
  <c r="H41" i="5"/>
  <c r="G41" i="5"/>
  <c r="F41" i="5"/>
  <c r="E41" i="5"/>
  <c r="D41" i="5"/>
  <c r="C41" i="5"/>
  <c r="P40" i="5"/>
  <c r="O40" i="5"/>
  <c r="N40" i="5"/>
  <c r="M40" i="5"/>
  <c r="L40" i="5"/>
  <c r="K40" i="5"/>
  <c r="J40" i="5"/>
  <c r="I40" i="5"/>
  <c r="H40" i="5"/>
  <c r="G40" i="5"/>
  <c r="F40" i="5"/>
  <c r="E40" i="5"/>
  <c r="D40" i="5"/>
  <c r="C40" i="5"/>
  <c r="P39" i="5"/>
  <c r="O39" i="5"/>
  <c r="N39" i="5"/>
  <c r="M39" i="5"/>
  <c r="L39" i="5"/>
  <c r="K39" i="5"/>
  <c r="J39" i="5"/>
  <c r="I39" i="5"/>
  <c r="H39" i="5"/>
  <c r="G39" i="5"/>
  <c r="F39" i="5"/>
  <c r="E39" i="5"/>
  <c r="D39" i="5"/>
  <c r="C39" i="5"/>
  <c r="P37" i="5"/>
  <c r="O37" i="5"/>
  <c r="N37" i="5"/>
  <c r="M37" i="5"/>
  <c r="L37" i="5"/>
  <c r="K37" i="5"/>
  <c r="J37" i="5"/>
  <c r="I37" i="5"/>
  <c r="H37" i="5"/>
  <c r="G37" i="5"/>
  <c r="F37" i="5"/>
  <c r="E37" i="5"/>
  <c r="D37" i="5"/>
  <c r="C37" i="5"/>
  <c r="P36" i="5"/>
  <c r="O36" i="5"/>
  <c r="N36" i="5"/>
  <c r="M36" i="5"/>
  <c r="L36" i="5"/>
  <c r="K36" i="5"/>
  <c r="J36" i="5"/>
  <c r="I36" i="5"/>
  <c r="H36" i="5"/>
  <c r="G36" i="5"/>
  <c r="F36" i="5"/>
  <c r="E36" i="5"/>
  <c r="D36" i="5"/>
  <c r="C36" i="5"/>
  <c r="P35" i="5"/>
  <c r="O35" i="5"/>
  <c r="N35" i="5"/>
  <c r="M35" i="5"/>
  <c r="L35" i="5"/>
  <c r="K35" i="5"/>
  <c r="J35" i="5"/>
  <c r="I35" i="5"/>
  <c r="H35" i="5"/>
  <c r="G35" i="5"/>
  <c r="F35" i="5"/>
  <c r="E35" i="5"/>
  <c r="D35" i="5"/>
  <c r="C35" i="5"/>
  <c r="P34" i="5"/>
  <c r="O34" i="5"/>
  <c r="N34" i="5"/>
  <c r="M34" i="5"/>
  <c r="L34" i="5"/>
  <c r="K34" i="5"/>
  <c r="J34" i="5"/>
  <c r="I34" i="5"/>
  <c r="H34" i="5"/>
  <c r="G34" i="5"/>
  <c r="F34" i="5"/>
  <c r="E34" i="5"/>
  <c r="D34" i="5"/>
  <c r="C34" i="5"/>
  <c r="P33" i="5"/>
  <c r="O33" i="5"/>
  <c r="N33" i="5"/>
  <c r="M33" i="5"/>
  <c r="L33" i="5"/>
  <c r="K33" i="5"/>
  <c r="J33" i="5"/>
  <c r="I33" i="5"/>
  <c r="H33" i="5"/>
  <c r="G33" i="5"/>
  <c r="F33" i="5"/>
  <c r="E33" i="5"/>
  <c r="D33" i="5"/>
  <c r="C33" i="5"/>
  <c r="P32" i="5"/>
  <c r="O32" i="5"/>
  <c r="N32" i="5"/>
  <c r="M32" i="5"/>
  <c r="L32" i="5"/>
  <c r="K32" i="5"/>
  <c r="J32" i="5"/>
  <c r="I32" i="5"/>
  <c r="H32" i="5"/>
  <c r="G32" i="5"/>
  <c r="F32" i="5"/>
  <c r="E32" i="5"/>
  <c r="D32" i="5"/>
  <c r="C32" i="5"/>
  <c r="P30" i="5"/>
  <c r="O30" i="5"/>
  <c r="N30" i="5"/>
  <c r="M30" i="5"/>
  <c r="L30" i="5"/>
  <c r="K30" i="5"/>
  <c r="J30" i="5"/>
  <c r="I30" i="5"/>
  <c r="H30" i="5"/>
  <c r="G30" i="5"/>
  <c r="F30" i="5"/>
  <c r="E30" i="5"/>
  <c r="D30" i="5"/>
  <c r="C30" i="5"/>
  <c r="P29" i="5"/>
  <c r="O29" i="5"/>
  <c r="N29" i="5"/>
  <c r="M29" i="5"/>
  <c r="L29" i="5"/>
  <c r="K29" i="5"/>
  <c r="J29" i="5"/>
  <c r="I29" i="5"/>
  <c r="H29" i="5"/>
  <c r="G29" i="5"/>
  <c r="F29" i="5"/>
  <c r="E29" i="5"/>
  <c r="D29" i="5"/>
  <c r="C29" i="5"/>
  <c r="P28" i="5"/>
  <c r="O28" i="5"/>
  <c r="N28" i="5"/>
  <c r="M28" i="5"/>
  <c r="L28" i="5"/>
  <c r="K28" i="5"/>
  <c r="J28" i="5"/>
  <c r="I28" i="5"/>
  <c r="H28" i="5"/>
  <c r="G28" i="5"/>
  <c r="F28" i="5"/>
  <c r="E28" i="5"/>
  <c r="D28" i="5"/>
  <c r="C28" i="5"/>
  <c r="P27" i="5"/>
  <c r="O27" i="5"/>
  <c r="N27" i="5"/>
  <c r="M27" i="5"/>
  <c r="L27" i="5"/>
  <c r="K27" i="5"/>
  <c r="J27" i="5"/>
  <c r="I27" i="5"/>
  <c r="H27" i="5"/>
  <c r="G27" i="5"/>
  <c r="F27" i="5"/>
  <c r="E27" i="5"/>
  <c r="D27" i="5"/>
  <c r="C27" i="5"/>
  <c r="P26" i="5"/>
  <c r="O26" i="5"/>
  <c r="N26" i="5"/>
  <c r="M26" i="5"/>
  <c r="L26" i="5"/>
  <c r="K26" i="5"/>
  <c r="J26" i="5"/>
  <c r="I26" i="5"/>
  <c r="H26" i="5"/>
  <c r="G26" i="5"/>
  <c r="F26" i="5"/>
  <c r="E26" i="5"/>
  <c r="D26" i="5"/>
  <c r="C26" i="5"/>
  <c r="P25" i="5"/>
  <c r="O25" i="5"/>
  <c r="N25" i="5"/>
  <c r="M25" i="5"/>
  <c r="L25" i="5"/>
  <c r="K25" i="5"/>
  <c r="J25" i="5"/>
  <c r="I25" i="5"/>
  <c r="H25" i="5"/>
  <c r="G25" i="5"/>
  <c r="F25" i="5"/>
  <c r="E25" i="5"/>
  <c r="D25" i="5"/>
  <c r="C25" i="5"/>
  <c r="P24" i="5"/>
  <c r="O24" i="5"/>
  <c r="N24" i="5"/>
  <c r="M24" i="5"/>
  <c r="L24" i="5"/>
  <c r="K24" i="5"/>
  <c r="J24" i="5"/>
  <c r="I24" i="5"/>
  <c r="H24" i="5"/>
  <c r="G24" i="5"/>
  <c r="F24" i="5"/>
  <c r="E24" i="5"/>
  <c r="D24" i="5"/>
  <c r="C24" i="5"/>
  <c r="P23" i="5"/>
  <c r="O23" i="5"/>
  <c r="N23" i="5"/>
  <c r="M23" i="5"/>
  <c r="L23" i="5"/>
  <c r="K23" i="5"/>
  <c r="J23" i="5"/>
  <c r="I23" i="5"/>
  <c r="H23" i="5"/>
  <c r="G23" i="5"/>
  <c r="F23" i="5"/>
  <c r="E23" i="5"/>
  <c r="D23" i="5"/>
  <c r="C23" i="5"/>
  <c r="P22" i="5"/>
  <c r="O22" i="5"/>
  <c r="N22" i="5"/>
  <c r="M22" i="5"/>
  <c r="L22" i="5"/>
  <c r="K22" i="5"/>
  <c r="J22" i="5"/>
  <c r="I22" i="5"/>
  <c r="H22" i="5"/>
  <c r="G22" i="5"/>
  <c r="F22" i="5"/>
  <c r="E22" i="5"/>
  <c r="D22" i="5"/>
  <c r="C22" i="5"/>
  <c r="P21" i="5"/>
  <c r="O21" i="5"/>
  <c r="N21" i="5"/>
  <c r="M21" i="5"/>
  <c r="L21" i="5"/>
  <c r="K21" i="5"/>
  <c r="J21" i="5"/>
  <c r="I21" i="5"/>
  <c r="H21" i="5"/>
  <c r="G21" i="5"/>
  <c r="F21" i="5"/>
  <c r="E21" i="5"/>
  <c r="D21" i="5"/>
  <c r="C21" i="5"/>
  <c r="P20" i="5"/>
  <c r="O20" i="5"/>
  <c r="N20" i="5"/>
  <c r="M20" i="5"/>
  <c r="L20" i="5"/>
  <c r="K20" i="5"/>
  <c r="J20" i="5"/>
  <c r="I20" i="5"/>
  <c r="H20" i="5"/>
  <c r="G20" i="5"/>
  <c r="F20" i="5"/>
  <c r="E20" i="5"/>
  <c r="D20" i="5"/>
  <c r="C20" i="5"/>
  <c r="P19" i="5"/>
  <c r="O19" i="5"/>
  <c r="N19" i="5"/>
  <c r="M19" i="5"/>
  <c r="L19" i="5"/>
  <c r="K19" i="5"/>
  <c r="J19" i="5"/>
  <c r="I19" i="5"/>
  <c r="H19" i="5"/>
  <c r="G19" i="5"/>
  <c r="F19" i="5"/>
  <c r="E19" i="5"/>
  <c r="D19" i="5"/>
  <c r="C19" i="5"/>
  <c r="P18" i="5"/>
  <c r="O18" i="5"/>
  <c r="N18" i="5"/>
  <c r="M18" i="5"/>
  <c r="L18" i="5"/>
  <c r="K18" i="5"/>
  <c r="J18" i="5"/>
  <c r="I18" i="5"/>
  <c r="H18" i="5"/>
  <c r="G18" i="5"/>
  <c r="F18" i="5"/>
  <c r="E18" i="5"/>
  <c r="D18" i="5"/>
  <c r="C18" i="5"/>
  <c r="P17" i="5"/>
  <c r="O17" i="5"/>
  <c r="N17" i="5"/>
  <c r="M17" i="5"/>
  <c r="L17" i="5"/>
  <c r="K17" i="5"/>
  <c r="J17" i="5"/>
  <c r="I17" i="5"/>
  <c r="H17" i="5"/>
  <c r="G17" i="5"/>
  <c r="F17" i="5"/>
  <c r="E17" i="5"/>
  <c r="D17" i="5"/>
  <c r="C17" i="5"/>
  <c r="P16" i="5"/>
  <c r="O16" i="5"/>
  <c r="N16" i="5"/>
  <c r="M16" i="5"/>
  <c r="L16" i="5"/>
  <c r="K16" i="5"/>
  <c r="J16" i="5"/>
  <c r="I16" i="5"/>
  <c r="H16" i="5"/>
  <c r="G16" i="5"/>
  <c r="F16" i="5"/>
  <c r="E16" i="5"/>
  <c r="D16" i="5"/>
  <c r="C16" i="5"/>
  <c r="P15" i="5"/>
  <c r="O15" i="5"/>
  <c r="N15" i="5"/>
  <c r="M15" i="5"/>
  <c r="L15" i="5"/>
  <c r="K15" i="5"/>
  <c r="J15" i="5"/>
  <c r="I15" i="5"/>
  <c r="H15" i="5"/>
  <c r="G15" i="5"/>
  <c r="F15" i="5"/>
  <c r="E15" i="5"/>
  <c r="D15" i="5"/>
  <c r="C15" i="5"/>
  <c r="P14" i="5"/>
  <c r="O14" i="5"/>
  <c r="N14" i="5"/>
  <c r="M14" i="5"/>
  <c r="L14" i="5"/>
  <c r="K14" i="5"/>
  <c r="J14" i="5"/>
  <c r="I14" i="5"/>
  <c r="H14" i="5"/>
  <c r="G14" i="5"/>
  <c r="F14" i="5"/>
  <c r="E14" i="5"/>
  <c r="D14" i="5"/>
  <c r="C14" i="5"/>
  <c r="P13" i="5"/>
  <c r="O13" i="5"/>
  <c r="N13" i="5"/>
  <c r="M13" i="5"/>
  <c r="L13" i="5"/>
  <c r="K13" i="5"/>
  <c r="J13" i="5"/>
  <c r="I13" i="5"/>
  <c r="H13" i="5"/>
  <c r="G13" i="5"/>
  <c r="F13" i="5"/>
  <c r="E13" i="5"/>
  <c r="D13" i="5"/>
  <c r="C13" i="5"/>
  <c r="P12" i="5"/>
  <c r="O12" i="5"/>
  <c r="N12" i="5"/>
  <c r="M12" i="5"/>
  <c r="L12" i="5"/>
  <c r="K12" i="5"/>
  <c r="J12" i="5"/>
  <c r="I12" i="5"/>
  <c r="H12" i="5"/>
  <c r="G12" i="5"/>
  <c r="F12" i="5"/>
  <c r="E12" i="5"/>
  <c r="D12" i="5"/>
  <c r="C12" i="5"/>
  <c r="T11" i="5"/>
  <c r="T10" i="5"/>
  <c r="T9" i="5"/>
  <c r="T8" i="5"/>
  <c r="T7" i="5"/>
  <c r="N7" i="5"/>
  <c r="L7" i="5"/>
  <c r="J7" i="5"/>
  <c r="H7" i="5"/>
  <c r="F7" i="5"/>
  <c r="D7" i="5"/>
  <c r="B7" i="5"/>
  <c r="O3" i="5"/>
  <c r="H65" i="3"/>
  <c r="N57" i="3"/>
  <c r="I54" i="3"/>
  <c r="H54" i="3"/>
  <c r="J54" i="3" s="1"/>
  <c r="S47" i="3" a="1"/>
  <c r="T47" i="3" s="1"/>
  <c r="H47" i="3"/>
  <c r="G47" i="3"/>
  <c r="S46" i="3" a="1"/>
  <c r="T46" i="3" s="1"/>
  <c r="I46" i="3"/>
  <c r="H46" i="3"/>
  <c r="G46" i="3"/>
  <c r="S45" i="3" a="1"/>
  <c r="S45" i="3" s="1"/>
  <c r="P45" i="3"/>
  <c r="I45" i="3"/>
  <c r="G45" i="3"/>
  <c r="E45" i="3"/>
  <c r="H45" i="3" s="1"/>
  <c r="S44" i="3" a="1"/>
  <c r="S44" i="3" s="1"/>
  <c r="P44" i="3"/>
  <c r="I44" i="3"/>
  <c r="G44" i="3"/>
  <c r="E44" i="3"/>
  <c r="H44" i="3" s="1"/>
  <c r="S43" i="3" a="1"/>
  <c r="T43" i="3" s="1"/>
  <c r="P43" i="3"/>
  <c r="L43" i="3"/>
  <c r="I43" i="3"/>
  <c r="G43" i="3"/>
  <c r="E43" i="3"/>
  <c r="S42" i="3" a="1"/>
  <c r="T42" i="3" s="1"/>
  <c r="P42" i="3"/>
  <c r="L42" i="3"/>
  <c r="I42" i="3"/>
  <c r="G42" i="3"/>
  <c r="E42" i="3"/>
  <c r="H42" i="3" s="1"/>
  <c r="S41" i="3" a="1"/>
  <c r="T41" i="3" s="1"/>
  <c r="P41" i="3"/>
  <c r="L41" i="3"/>
  <c r="I41" i="3"/>
  <c r="G41" i="3"/>
  <c r="E41" i="3"/>
  <c r="S40" i="3" a="1"/>
  <c r="T40" i="3" s="1"/>
  <c r="P40" i="3"/>
  <c r="O40" i="3"/>
  <c r="L40" i="3"/>
  <c r="I40" i="3"/>
  <c r="G40" i="3"/>
  <c r="E40" i="3"/>
  <c r="S39" i="3" a="1"/>
  <c r="T39" i="3" s="1"/>
  <c r="P39" i="3"/>
  <c r="L39" i="3"/>
  <c r="I39" i="3"/>
  <c r="E39" i="3"/>
  <c r="S38" i="3" a="1"/>
  <c r="T38" i="3" s="1"/>
  <c r="P38" i="3"/>
  <c r="L38" i="3"/>
  <c r="I38" i="3"/>
  <c r="G38" i="3"/>
  <c r="E38" i="3"/>
  <c r="S37" i="3" a="1"/>
  <c r="T37" i="3" s="1"/>
  <c r="P37" i="3"/>
  <c r="L37" i="3"/>
  <c r="I37" i="3"/>
  <c r="G37" i="3"/>
  <c r="E37" i="3"/>
  <c r="H37" i="3" s="1"/>
  <c r="S36" i="3" a="1"/>
  <c r="T36" i="3" s="1"/>
  <c r="P36" i="3"/>
  <c r="L36" i="3"/>
  <c r="I36" i="3"/>
  <c r="G36" i="3"/>
  <c r="E36" i="3"/>
  <c r="H36" i="3" s="1"/>
  <c r="S35" i="3" a="1"/>
  <c r="T35" i="3" s="1"/>
  <c r="P35" i="3"/>
  <c r="L35" i="3"/>
  <c r="I35" i="3"/>
  <c r="G35" i="3"/>
  <c r="E35" i="3"/>
  <c r="S34" i="3" a="1"/>
  <c r="T34" i="3" s="1"/>
  <c r="P34" i="3"/>
  <c r="L34" i="3"/>
  <c r="I34" i="3"/>
  <c r="G34" i="3"/>
  <c r="E34" i="3"/>
  <c r="S33" i="3" a="1"/>
  <c r="T33" i="3" s="1"/>
  <c r="P33" i="3"/>
  <c r="L33" i="3"/>
  <c r="I33" i="3"/>
  <c r="G33" i="3"/>
  <c r="E33" i="3"/>
  <c r="S32" i="3" a="1"/>
  <c r="T32" i="3" s="1"/>
  <c r="P32" i="3"/>
  <c r="L32" i="3"/>
  <c r="I32" i="3"/>
  <c r="G32" i="3"/>
  <c r="E32" i="3"/>
  <c r="S31" i="3" a="1"/>
  <c r="T31" i="3" s="1"/>
  <c r="P31" i="3"/>
  <c r="L31" i="3"/>
  <c r="I31" i="3"/>
  <c r="G31" i="3"/>
  <c r="E31" i="3"/>
  <c r="H31" i="3" s="1"/>
  <c r="S30" i="3" a="1"/>
  <c r="T30" i="3" s="1"/>
  <c r="P30" i="3"/>
  <c r="L30" i="3"/>
  <c r="I30" i="3"/>
  <c r="G30" i="3"/>
  <c r="E30" i="3"/>
  <c r="H30" i="3" s="1"/>
  <c r="S29" i="3" a="1"/>
  <c r="T29" i="3" s="1"/>
  <c r="S29" i="3"/>
  <c r="P29" i="3"/>
  <c r="L29" i="3"/>
  <c r="I29" i="3"/>
  <c r="G29" i="3"/>
  <c r="E29" i="3"/>
  <c r="H29" i="3" s="1"/>
  <c r="S28" i="3" a="1"/>
  <c r="T28" i="3" s="1"/>
  <c r="P28" i="3"/>
  <c r="L28" i="3"/>
  <c r="I28" i="3"/>
  <c r="G28" i="3"/>
  <c r="E28" i="3"/>
  <c r="H28" i="3" s="1"/>
  <c r="S27" i="3" a="1"/>
  <c r="T27" i="3" s="1"/>
  <c r="S27" i="3"/>
  <c r="P27" i="3"/>
  <c r="L27" i="3"/>
  <c r="I27" i="3"/>
  <c r="G27" i="3"/>
  <c r="E27" i="3"/>
  <c r="H27" i="3" s="1"/>
  <c r="S26" i="3" a="1"/>
  <c r="T26" i="3" s="1"/>
  <c r="P26" i="3"/>
  <c r="L26" i="3"/>
  <c r="I26" i="3"/>
  <c r="G26" i="3"/>
  <c r="E26" i="3"/>
  <c r="S25" i="3" a="1"/>
  <c r="T25" i="3" s="1"/>
  <c r="P25" i="3"/>
  <c r="L25" i="3"/>
  <c r="I25" i="3"/>
  <c r="G25" i="3"/>
  <c r="E25" i="3"/>
  <c r="S24" i="3" a="1"/>
  <c r="T24" i="3" s="1"/>
  <c r="P24" i="3"/>
  <c r="L24" i="3"/>
  <c r="I24" i="3"/>
  <c r="G24" i="3"/>
  <c r="E24" i="3"/>
  <c r="H24" i="3" s="1"/>
  <c r="S23" i="3" a="1"/>
  <c r="T23" i="3" s="1"/>
  <c r="S23" i="3"/>
  <c r="P23" i="3"/>
  <c r="L23" i="3"/>
  <c r="I23" i="3"/>
  <c r="G23" i="3"/>
  <c r="E23" i="3"/>
  <c r="H23" i="3" s="1"/>
  <c r="S22" i="3" a="1"/>
  <c r="T22" i="3" s="1"/>
  <c r="P22" i="3"/>
  <c r="L22" i="3"/>
  <c r="I22" i="3"/>
  <c r="G22" i="3"/>
  <c r="E22" i="3"/>
  <c r="S21" i="3" a="1"/>
  <c r="T21" i="3" s="1"/>
  <c r="P21" i="3"/>
  <c r="L21" i="3"/>
  <c r="I21" i="3"/>
  <c r="G21" i="3"/>
  <c r="E21" i="3"/>
  <c r="S20" i="3" a="1"/>
  <c r="T20" i="3" s="1"/>
  <c r="P20" i="3"/>
  <c r="L20" i="3"/>
  <c r="I20" i="3"/>
  <c r="G20" i="3"/>
  <c r="E20" i="3"/>
  <c r="H20" i="3" s="1"/>
  <c r="U19" i="3"/>
  <c r="U20" i="3" s="1"/>
  <c r="U21" i="3" s="1"/>
  <c r="U22" i="3" s="1"/>
  <c r="U23" i="3" s="1"/>
  <c r="U24" i="3" s="1"/>
  <c r="U25" i="3" s="1"/>
  <c r="U26" i="3" s="1"/>
  <c r="U27" i="3" s="1"/>
  <c r="U28" i="3" s="1"/>
  <c r="U29" i="3" s="1"/>
  <c r="U30" i="3" s="1"/>
  <c r="U31" i="3" s="1"/>
  <c r="U32" i="3" s="1"/>
  <c r="U33" i="3" s="1"/>
  <c r="U34" i="3" s="1"/>
  <c r="U35" i="3" s="1"/>
  <c r="U36" i="3" s="1"/>
  <c r="U37" i="3" s="1"/>
  <c r="U38" i="3" s="1"/>
  <c r="U39" i="3" s="1"/>
  <c r="U40" i="3" s="1"/>
  <c r="U41" i="3" s="1"/>
  <c r="U42" i="3" s="1"/>
  <c r="U43" i="3" s="1"/>
  <c r="U44" i="3" s="1"/>
  <c r="U45" i="3" s="1"/>
  <c r="U46" i="3" s="1"/>
  <c r="S19" i="3" a="1"/>
  <c r="T19" i="3" s="1"/>
  <c r="P19" i="3"/>
  <c r="L19" i="3"/>
  <c r="I19" i="3"/>
  <c r="G19" i="3"/>
  <c r="E19" i="3"/>
  <c r="S18" i="3" a="1"/>
  <c r="T18" i="3" s="1"/>
  <c r="S18" i="3"/>
  <c r="P18" i="3"/>
  <c r="L18" i="3"/>
  <c r="J18" i="3"/>
  <c r="K18" i="3" s="1"/>
  <c r="I18" i="3"/>
  <c r="S17" i="3" a="1"/>
  <c r="T17" i="3" s="1"/>
  <c r="S17" i="3"/>
  <c r="P17" i="3"/>
  <c r="L17" i="3"/>
  <c r="D17" i="3"/>
  <c r="I17" i="3" s="1"/>
  <c r="D12" i="3"/>
  <c r="F20" i="2" s="1"/>
  <c r="D10" i="3"/>
  <c r="G16" i="1" s="1"/>
  <c r="D9" i="3"/>
  <c r="G17" i="1" s="1"/>
  <c r="D8" i="3"/>
  <c r="F23" i="2" s="1"/>
  <c r="D7" i="3"/>
  <c r="G19" i="1" s="1"/>
  <c r="J42" i="2"/>
  <c r="F31" i="2"/>
  <c r="G24" i="2"/>
  <c r="I19" i="1" s="1"/>
  <c r="G23" i="2"/>
  <c r="K21" i="2"/>
  <c r="P17" i="2"/>
  <c r="P16" i="2"/>
  <c r="P15" i="2"/>
  <c r="P14" i="2"/>
  <c r="P13" i="2"/>
  <c r="K9" i="2"/>
  <c r="C9" i="2"/>
  <c r="J3" i="2"/>
  <c r="J2" i="2"/>
  <c r="R34" i="1"/>
  <c r="E24" i="1"/>
  <c r="R3" i="1"/>
  <c r="R2" i="1"/>
  <c r="V94" i="9"/>
  <c r="U87" i="9"/>
  <c r="U86" i="9"/>
  <c r="U70" i="9"/>
  <c r="U85" i="9"/>
  <c r="U75" i="9"/>
  <c r="U50" i="9"/>
  <c r="U69" i="9"/>
  <c r="U56" i="9"/>
  <c r="V84" i="9"/>
  <c r="N84" i="9"/>
  <c r="V40" i="9"/>
  <c r="U40" i="9"/>
  <c r="N40" i="9"/>
  <c r="V72" i="9"/>
  <c r="U72" i="9"/>
  <c r="N72" i="9"/>
  <c r="V71" i="9"/>
  <c r="U71" i="9"/>
  <c r="N71" i="9"/>
  <c r="V47" i="9"/>
  <c r="U47" i="9"/>
  <c r="N47" i="9"/>
  <c r="V49" i="9"/>
  <c r="U49" i="9"/>
  <c r="M49" i="9"/>
  <c r="N49" i="9" s="1"/>
  <c r="V83" i="9"/>
  <c r="U83" i="9"/>
  <c r="N83" i="9"/>
  <c r="V39" i="9"/>
  <c r="U39" i="9"/>
  <c r="V82" i="9"/>
  <c r="U82" i="9"/>
  <c r="N82" i="9"/>
  <c r="V81" i="9"/>
  <c r="L81" i="9"/>
  <c r="N81" i="9" s="1"/>
  <c r="V68" i="9"/>
  <c r="N68" i="9"/>
  <c r="V55" i="9"/>
  <c r="U55" i="9"/>
  <c r="V67" i="9"/>
  <c r="N67" i="9"/>
  <c r="U58" i="9"/>
  <c r="U66" i="9"/>
  <c r="V51" i="9"/>
  <c r="U51" i="9"/>
  <c r="U57" i="9"/>
  <c r="V48" i="9"/>
  <c r="U48" i="9"/>
  <c r="V52" i="9"/>
  <c r="U52" i="9"/>
  <c r="V65" i="9"/>
  <c r="U65" i="9"/>
  <c r="V64" i="9"/>
  <c r="V63" i="9"/>
  <c r="U78" i="9"/>
  <c r="V53" i="9"/>
  <c r="U53" i="9"/>
  <c r="V62" i="9"/>
  <c r="U62" i="9"/>
  <c r="V61" i="9"/>
  <c r="U61" i="9"/>
  <c r="V60" i="9"/>
  <c r="V46" i="9"/>
  <c r="V31" i="9"/>
  <c r="U31" i="9"/>
  <c r="N31" i="9"/>
  <c r="V38" i="9"/>
  <c r="U38" i="9"/>
  <c r="N38" i="9"/>
  <c r="V28" i="9"/>
  <c r="U28" i="9"/>
  <c r="N28" i="9"/>
  <c r="V30" i="9"/>
  <c r="U30" i="9"/>
  <c r="N30" i="9"/>
  <c r="U45" i="9"/>
  <c r="V29" i="9"/>
  <c r="U29" i="9"/>
  <c r="N29" i="9"/>
  <c r="V37" i="9"/>
  <c r="U37" i="9"/>
  <c r="V44" i="9"/>
  <c r="U44" i="9"/>
  <c r="V43" i="9"/>
  <c r="U43" i="9"/>
  <c r="V26" i="9"/>
  <c r="U26" i="9"/>
  <c r="V42" i="9"/>
  <c r="U42" i="9"/>
  <c r="V27" i="9"/>
  <c r="V41" i="9"/>
  <c r="V36" i="9"/>
  <c r="U36" i="9"/>
  <c r="V35" i="9"/>
  <c r="V34" i="9"/>
  <c r="V33" i="9"/>
  <c r="V25" i="9"/>
  <c r="V24" i="9"/>
  <c r="U24" i="9"/>
  <c r="V23" i="9"/>
  <c r="U23" i="9"/>
  <c r="V22" i="9"/>
  <c r="U22" i="9"/>
  <c r="V21" i="9"/>
  <c r="V20" i="9"/>
  <c r="U20" i="9"/>
  <c r="V19" i="9"/>
  <c r="V18" i="9"/>
  <c r="U18" i="9"/>
  <c r="V17" i="9"/>
  <c r="U17" i="9"/>
  <c r="V16" i="9"/>
  <c r="U16" i="9"/>
  <c r="V15" i="9"/>
  <c r="U15" i="9"/>
  <c r="V14" i="9"/>
  <c r="U14" i="9"/>
  <c r="V13" i="9"/>
  <c r="U13" i="9"/>
  <c r="V12" i="9"/>
  <c r="U12" i="9"/>
  <c r="B12" i="9"/>
  <c r="B13" i="9" s="1"/>
  <c r="B14" i="9" s="1"/>
  <c r="B15" i="9" s="1"/>
  <c r="B16" i="9" s="1"/>
  <c r="B17" i="9" s="1"/>
  <c r="B18" i="9" s="1"/>
  <c r="B19" i="9" s="1"/>
  <c r="B20" i="9" s="1"/>
  <c r="B21" i="9" s="1"/>
  <c r="B22" i="9" s="1"/>
  <c r="B23" i="9" s="1"/>
  <c r="B24" i="9" s="1"/>
  <c r="B25" i="9" s="1"/>
  <c r="B26" i="9" s="1"/>
  <c r="B27" i="9" s="1"/>
  <c r="B28" i="9" s="1"/>
  <c r="B29" i="9" s="1"/>
  <c r="B30" i="9" s="1"/>
  <c r="V11" i="9"/>
  <c r="U11" i="9"/>
  <c r="B1" i="9"/>
  <c r="E1" i="10" l="1" a="1"/>
  <c r="S35" i="3"/>
  <c r="S39" i="3"/>
  <c r="S21" i="3"/>
  <c r="S31" i="3"/>
  <c r="S33" i="3"/>
  <c r="S41" i="3"/>
  <c r="S43" i="3"/>
  <c r="E51" i="3"/>
  <c r="J48" i="3"/>
  <c r="S19" i="3"/>
  <c r="T44" i="3"/>
  <c r="H4" i="3"/>
  <c r="J9" i="2" s="1"/>
  <c r="E2" i="3"/>
  <c r="T48" i="3"/>
  <c r="S25" i="3"/>
  <c r="J45" i="3"/>
  <c r="K45" i="3" s="1"/>
  <c r="L51" i="3"/>
  <c r="S37" i="3"/>
  <c r="H39" i="3"/>
  <c r="J39" i="3" s="1"/>
  <c r="K39" i="3" s="1"/>
  <c r="H25" i="3"/>
  <c r="J25" i="3" s="1"/>
  <c r="K25" i="3" s="1"/>
  <c r="H35" i="3"/>
  <c r="J35" i="3" s="1"/>
  <c r="K35" i="3" s="1"/>
  <c r="J23" i="3"/>
  <c r="K23" i="3" s="1"/>
  <c r="J29" i="3"/>
  <c r="K29" i="3" s="1"/>
  <c r="J37" i="3"/>
  <c r="K37" i="3" s="1"/>
  <c r="J17" i="3"/>
  <c r="K17" i="3" s="1"/>
  <c r="C15" i="2"/>
  <c r="H40" i="3"/>
  <c r="J40" i="3" s="1"/>
  <c r="H22" i="3"/>
  <c r="J22" i="3" s="1"/>
  <c r="K22" i="3" s="1"/>
  <c r="H26" i="3"/>
  <c r="J26" i="3" s="1"/>
  <c r="K26" i="3" s="1"/>
  <c r="H32" i="3"/>
  <c r="J32" i="3" s="1"/>
  <c r="K32" i="3" s="1"/>
  <c r="H34" i="3"/>
  <c r="J34" i="3" s="1"/>
  <c r="K34" i="3" s="1"/>
  <c r="H38" i="3"/>
  <c r="J38" i="3" s="1"/>
  <c r="K38" i="3" s="1"/>
  <c r="H5" i="3"/>
  <c r="J44" i="3"/>
  <c r="K44" i="3" s="1"/>
  <c r="J20" i="3"/>
  <c r="K20" i="3" s="1"/>
  <c r="J24" i="3"/>
  <c r="K24" i="3" s="1"/>
  <c r="J28" i="3"/>
  <c r="K28" i="3" s="1"/>
  <c r="J30" i="3"/>
  <c r="K30" i="3" s="1"/>
  <c r="J36" i="3"/>
  <c r="K36" i="3" s="1"/>
  <c r="J42" i="3"/>
  <c r="K42" i="3" s="1"/>
  <c r="H19" i="3"/>
  <c r="J19" i="3" s="1"/>
  <c r="H41" i="3"/>
  <c r="J41" i="3" s="1"/>
  <c r="K41" i="3" s="1"/>
  <c r="J31" i="3"/>
  <c r="K31" i="3" s="1"/>
  <c r="H21" i="3"/>
  <c r="J21" i="3" s="1"/>
  <c r="K21" i="3" s="1"/>
  <c r="H43" i="3"/>
  <c r="J43" i="3" s="1"/>
  <c r="K43" i="3" s="1"/>
  <c r="J27" i="3"/>
  <c r="K27" i="3" s="1"/>
  <c r="S20" i="3"/>
  <c r="S22" i="3"/>
  <c r="S24" i="3"/>
  <c r="S26" i="3"/>
  <c r="S28" i="3"/>
  <c r="S30" i="3"/>
  <c r="S32" i="3"/>
  <c r="S34" i="3"/>
  <c r="S36" i="3"/>
  <c r="S38" i="3"/>
  <c r="S40" i="3"/>
  <c r="S42" i="3"/>
  <c r="H33" i="3"/>
  <c r="J33" i="3" s="1"/>
  <c r="K33" i="3" s="1"/>
  <c r="J47" i="3"/>
  <c r="J46" i="3"/>
  <c r="K46" i="3" s="1"/>
  <c r="I51" i="3"/>
  <c r="G51" i="3"/>
  <c r="U47" i="3"/>
  <c r="U48" i="3" s="1"/>
  <c r="U49" i="3" s="1"/>
  <c r="I18" i="1"/>
  <c r="G15" i="1"/>
  <c r="L9" i="1"/>
  <c r="E57" i="3"/>
  <c r="T45" i="3"/>
  <c r="S46" i="3"/>
  <c r="F24" i="2"/>
  <c r="F21" i="2"/>
  <c r="S47" i="3"/>
  <c r="G18" i="1"/>
  <c r="F22" i="2"/>
  <c r="D4" i="10"/>
  <c r="D7" i="10" s="1"/>
  <c r="N95" i="9"/>
  <c r="Q20" i="1"/>
  <c r="E38" i="2"/>
  <c r="E36" i="2"/>
  <c r="Q18" i="1"/>
  <c r="E35" i="2"/>
  <c r="Q17" i="1"/>
  <c r="E34" i="2"/>
  <c r="Q16" i="1"/>
  <c r="D5" i="3" l="1"/>
  <c r="G61" i="3" s="1"/>
  <c r="H6" i="3"/>
  <c r="B32" i="1" s="1"/>
  <c r="J13" i="2"/>
  <c r="I5" i="3"/>
  <c r="P6" i="2" s="1"/>
  <c r="B29" i="1"/>
  <c r="D13" i="4" a="1"/>
  <c r="K40" i="3"/>
  <c r="K19" i="3"/>
  <c r="K51" i="3" s="1"/>
  <c r="D15" i="4"/>
  <c r="G21" i="2"/>
  <c r="I16" i="1" s="1"/>
  <c r="D17" i="4"/>
  <c r="H51" i="3"/>
  <c r="D57" i="3" a="1"/>
  <c r="G22" i="2"/>
  <c r="I17" i="1" s="1"/>
  <c r="G20" i="2"/>
  <c r="I15" i="1" s="1"/>
  <c r="H10" i="3"/>
  <c r="J51" i="3"/>
  <c r="N3" i="9"/>
  <c r="I6" i="3"/>
  <c r="Q19" i="1"/>
  <c r="E37" i="2"/>
  <c r="D62" i="3" l="1"/>
  <c r="J57" i="3"/>
  <c r="J58" i="3" s="1"/>
  <c r="J59" i="3" s="1"/>
  <c r="J16" i="2"/>
  <c r="K16" i="2"/>
  <c r="K13" i="2"/>
  <c r="E32" i="1"/>
  <c r="P7" i="2"/>
  <c r="E29" i="1"/>
  <c r="D14" i="4"/>
  <c r="D13" i="4"/>
  <c r="D12" i="4" s="1"/>
  <c r="D60" i="3"/>
  <c r="D59" i="3"/>
  <c r="D61" i="3"/>
  <c r="D58" i="3"/>
  <c r="D57" i="3"/>
  <c r="L29" i="1"/>
  <c r="J25" i="2"/>
  <c r="Q15" i="1"/>
  <c r="E39" i="2"/>
  <c r="F37" i="2"/>
  <c r="S19" i="1"/>
  <c r="S17" i="1"/>
  <c r="F35" i="2"/>
  <c r="X5" i="9"/>
  <c r="Y7" i="9" s="1"/>
  <c r="S20" i="1"/>
  <c r="F38" i="2"/>
  <c r="S18" i="1" l="1"/>
  <c r="F36" i="2"/>
  <c r="D13" i="3"/>
  <c r="E9" i="2"/>
  <c r="E8" i="3"/>
  <c r="E12" i="3"/>
  <c r="G9" i="1"/>
  <c r="J8" i="1"/>
  <c r="E7" i="3"/>
  <c r="E9" i="3"/>
  <c r="H9" i="3"/>
  <c r="E10" i="3"/>
  <c r="C30" i="2"/>
  <c r="F25" i="2" l="1"/>
  <c r="Q9" i="1"/>
  <c r="F15" i="2"/>
  <c r="G20" i="1"/>
  <c r="E13" i="3"/>
  <c r="G25" i="2"/>
  <c r="F9" i="2"/>
  <c r="F18" i="1"/>
  <c r="E23" i="2"/>
  <c r="F20" i="1"/>
  <c r="P3" i="2"/>
  <c r="E20" i="2"/>
  <c r="P4" i="2"/>
  <c r="C16" i="2"/>
  <c r="O8" i="1"/>
  <c r="T8" i="1"/>
  <c r="F15" i="1"/>
  <c r="F16" i="2"/>
  <c r="E25" i="2"/>
  <c r="F19" i="1"/>
  <c r="E24" i="2"/>
  <c r="E22" i="2"/>
  <c r="F17" i="1"/>
  <c r="I10" i="3"/>
  <c r="H11" i="3"/>
  <c r="L25" i="1"/>
  <c r="J21" i="2"/>
  <c r="E21" i="2"/>
  <c r="F16" i="1"/>
  <c r="O29" i="1" l="1"/>
  <c r="P9" i="2"/>
  <c r="K25" i="2"/>
  <c r="I11" i="3"/>
  <c r="L32" i="1"/>
  <c r="J28" i="2"/>
  <c r="O32" i="1" l="1"/>
  <c r="P10" i="2"/>
  <c r="K28" i="2"/>
  <c r="B31" i="9" l="1"/>
  <c r="B33" i="9" s="1"/>
  <c r="B34" i="9" s="1"/>
  <c r="B35" i="9" s="1"/>
  <c r="B36" i="9" s="1"/>
  <c r="B37" i="9" s="1"/>
  <c r="B38" i="9" s="1"/>
  <c r="B39" i="9" s="1"/>
  <c r="B40" i="9" s="1"/>
  <c r="B41" i="9" s="1"/>
  <c r="B42" i="9" s="1"/>
  <c r="B43" i="9" s="1"/>
  <c r="B44" i="9" s="1"/>
  <c r="B45" i="9" s="1"/>
  <c r="B46" i="9" s="1"/>
  <c r="B47" i="9" s="1"/>
  <c r="B48" i="9" s="1"/>
  <c r="B49" i="9" s="1"/>
  <c r="B50" i="9" s="1"/>
  <c r="B51" i="9" s="1"/>
  <c r="B52" i="9" s="1"/>
  <c r="B53" i="9" s="1"/>
  <c r="B54" i="9" s="1"/>
  <c r="B59" i="9" s="1"/>
  <c r="B60" i="9" s="1"/>
  <c r="B61" i="9" s="1"/>
  <c r="B62" i="9" s="1"/>
  <c r="B63" i="9" s="1"/>
  <c r="B64" i="9" s="1"/>
  <c r="B65" i="9" s="1"/>
  <c r="B57" i="9" s="1"/>
  <c r="B66" i="9" s="1"/>
  <c r="B58" i="9" s="1"/>
  <c r="B67" i="9" s="1"/>
  <c r="B68" i="9" s="1"/>
  <c r="B69" i="9" s="1"/>
  <c r="B70" i="9" s="1"/>
  <c r="B56" i="9" s="1"/>
  <c r="B71" i="9" s="1"/>
  <c r="B72" i="9" s="1"/>
  <c r="B73" i="9" s="1"/>
  <c r="B74" i="9" s="1"/>
  <c r="B75" i="9" s="1"/>
  <c r="B76" i="9" s="1"/>
  <c r="B77" i="9" s="1"/>
  <c r="B55" i="9" s="1"/>
  <c r="B32" i="9" s="1"/>
  <c r="B81" i="9" s="1"/>
  <c r="B82" i="9" s="1"/>
  <c r="B83" i="9" s="1"/>
  <c r="B78" i="9" s="1"/>
  <c r="B84" i="9" s="1"/>
  <c r="B85" i="9" s="1"/>
  <c r="B86" i="9" s="1"/>
  <c r="B87" i="9" s="1"/>
  <c r="B88" i="9" s="1"/>
  <c r="B89" i="9" s="1"/>
  <c r="B90" i="9" s="1"/>
  <c r="B79" i="9" s="1"/>
  <c r="B80" i="9" s="1"/>
  <c r="B91" i="9" s="1"/>
  <c r="G2" i="10" l="1"/>
  <c r="F34" i="2"/>
  <c r="E7" i="10"/>
  <c r="S16" i="1"/>
  <c r="S15" i="1" l="1"/>
  <c r="F39" i="2"/>
  <c r="F30"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Mohamed Roomy Mohamed Hassan</author>
  </authors>
  <commentList>
    <comment ref="N31" authorId="0" shapeId="0" xr:uid="{00000000-0006-0000-0300-00000B000000}">
      <text>
        <r>
          <rPr>
            <b/>
            <sz val="20"/>
            <color rgb="FF000000"/>
            <rFont val="Tahoma"/>
            <family val="2"/>
          </rPr>
          <t>Mohamed Roomy Mohamed Hassan:</t>
        </r>
        <r>
          <rPr>
            <sz val="20"/>
            <color rgb="FF000000"/>
            <rFont val="Tahoma"/>
            <family val="2"/>
          </rPr>
          <t xml:space="preserve">
</t>
        </r>
        <r>
          <rPr>
            <sz val="20"/>
            <color rgb="FF000000"/>
            <rFont val="Tahoma"/>
            <family val="2"/>
          </rPr>
          <t>RSG Employer Assessment accepted amount (Feb 2026). Original contractor proposal: SAR 15,738.45.</t>
        </r>
      </text>
    </comment>
    <comment ref="O32" authorId="0" shapeId="0" xr:uid="{00000000-0006-0000-0300-000011000000}">
      <text>
        <r>
          <rPr>
            <b/>
            <sz val="10"/>
            <color rgb="FF000000"/>
            <rFont val="Tahoma"/>
            <family val="2"/>
          </rPr>
          <t>Mohamed Roomy Mohamed Hassan:</t>
        </r>
        <r>
          <rPr>
            <sz val="10"/>
            <color rgb="FF000000"/>
            <rFont val="Tahoma"/>
            <family val="2"/>
          </rPr>
          <t xml:space="preserve">
</t>
        </r>
        <r>
          <rPr>
            <sz val="10"/>
            <color rgb="FF000000"/>
            <rFont val="Tahoma"/>
            <family val="2"/>
          </rPr>
          <t xml:space="preserve">Mohamed Roomy Mohamed Hassan:
</t>
        </r>
        <r>
          <rPr>
            <sz val="10"/>
            <color rgb="FF000000"/>
            <rFont val="Tahoma"/>
            <family val="2"/>
          </rPr>
          <t>Signed and sent DVO to RSG</t>
        </r>
      </text>
    </comment>
    <comment ref="L33" authorId="0" shapeId="0" xr:uid="{00000000-0006-0000-0300-000001000000}">
      <text>
        <r>
          <rPr>
            <sz val="11"/>
            <color rgb="FF000000"/>
            <rFont val="Calibri"/>
            <family val="2"/>
          </rPr>
          <t>Mohamed Roomy Mohamed Hassan:
UPDATED: Contractor Proposal corrected to 81,086.98</t>
        </r>
      </text>
    </comment>
    <comment ref="M34" authorId="0" shapeId="0" xr:uid="{00000000-0006-0000-0300-000002000000}">
      <text>
        <r>
          <rPr>
            <sz val="11"/>
            <color rgb="FF000000"/>
            <rFont val="Calibri"/>
            <family val="2"/>
          </rPr>
          <t xml:space="preserve">Mohamed Roomy Mohamed Hassan:
</t>
        </r>
        <r>
          <rPr>
            <sz val="11"/>
            <color rgb="FF000000"/>
            <rFont val="Calibri"/>
            <family val="2"/>
          </rPr>
          <t>UPDATED: RSG Assessment added (237,846.63)</t>
        </r>
      </text>
    </comment>
    <comment ref="N34" authorId="0" shapeId="0" xr:uid="{00000000-0006-0000-0300-000003000000}">
      <text>
        <r>
          <rPr>
            <sz val="11"/>
            <color rgb="FF000000"/>
            <rFont val="Calibri"/>
            <family val="2"/>
          </rPr>
          <t xml:space="preserve">Mohamed Roomy Mohamed Hassan:
</t>
        </r>
        <r>
          <rPr>
            <sz val="11"/>
            <color rgb="FF000000"/>
            <rFont val="Calibri"/>
            <family val="2"/>
          </rPr>
          <t>UPDATED: Final Approved Amount added</t>
        </r>
      </text>
    </comment>
    <comment ref="O34" authorId="0" shapeId="0" xr:uid="{00000000-0006-0000-0300-000004000000}">
      <text>
        <r>
          <rPr>
            <sz val="11"/>
            <color rgb="FF000000"/>
            <rFont val="Calibri"/>
            <family val="2"/>
          </rPr>
          <t xml:space="preserve">Mohamed Roomy Mohamed Hassan:
</t>
        </r>
        <r>
          <rPr>
            <sz val="11"/>
            <color rgb="FF000000"/>
            <rFont val="Calibri"/>
            <family val="2"/>
          </rPr>
          <t>CHANGED: Was 'Pending with RSG/FFC' → 'DVO RR Issued'</t>
        </r>
      </text>
    </comment>
    <comment ref="O35" authorId="0" shapeId="0" xr:uid="{00000000-0006-0000-0300-000005000000}">
      <text>
        <r>
          <rPr>
            <b/>
            <sz val="10"/>
            <color rgb="FF000000"/>
            <rFont val="Tahoma"/>
            <family val="2"/>
          </rPr>
          <t>Mohamed Roomy Mohamed Hassan:</t>
        </r>
        <r>
          <rPr>
            <sz val="10"/>
            <color rgb="FF000000"/>
            <rFont val="Tahoma"/>
            <family val="2"/>
          </rPr>
          <t xml:space="preserve">
Mohamed Roomy Mohamed Hassan:
Signed and sent DVO to RSG</t>
        </r>
      </text>
    </comment>
    <comment ref="L36" authorId="0" shapeId="0" xr:uid="{00000000-0006-0000-0300-000006000000}">
      <text>
        <r>
          <rPr>
            <sz val="11"/>
            <color rgb="FF000000"/>
            <rFont val="Calibri"/>
            <family val="2"/>
            <scheme val="minor"/>
          </rPr>
          <t>Mohamed Roomy Mohamed Hassan:
UPDATED: Contractor Proposal corrected to (76,534.47)</t>
        </r>
      </text>
    </comment>
    <comment ref="M36" authorId="0" shapeId="0" xr:uid="{00000000-0006-0000-0300-000007000000}">
      <text>
        <r>
          <rPr>
            <sz val="18"/>
            <color rgb="FF000000"/>
            <rFont val="Calibri"/>
            <family val="2"/>
          </rPr>
          <t xml:space="preserve">Mohamed Roomy Mohamed Hassan:
</t>
        </r>
        <r>
          <rPr>
            <sz val="18"/>
            <color rgb="FF000000"/>
            <rFont val="Calibri"/>
            <family val="2"/>
          </rPr>
          <t>UPDATED: RSG Assessment added (131,416.56)</t>
        </r>
      </text>
    </comment>
    <comment ref="N36" authorId="0" shapeId="0" xr:uid="{00000000-0006-0000-0300-000008000000}">
      <text>
        <r>
          <rPr>
            <sz val="11"/>
            <color rgb="FF000000"/>
            <rFont val="Calibri"/>
            <family val="2"/>
            <scheme val="minor"/>
          </rPr>
          <t>Mohamed Roomy Mohamed Hassan:
UPDATED: Final Approved Amount added</t>
        </r>
      </text>
    </comment>
    <comment ref="O36" authorId="0" shapeId="0" xr:uid="{00000000-0006-0000-0300-000009000000}">
      <text>
        <r>
          <rPr>
            <sz val="11"/>
            <color rgb="FF000000"/>
            <rFont val="Calibri"/>
            <family val="2"/>
          </rPr>
          <t>Mohamed Roomy Mohamed Hassan:
CHANGED: Was 'Pending with RSG/FFC' → 'DVO RR Issued'</t>
        </r>
      </text>
    </comment>
    <comment ref="N37" authorId="0" shapeId="0" xr:uid="{00000000-0006-0000-0300-00000A000000}">
      <text>
        <r>
          <rPr>
            <sz val="11"/>
            <color rgb="FF000000"/>
            <rFont val="Calibri"/>
            <family val="2"/>
          </rPr>
          <t>Mohamed Roomy Mohamed Hassan:
UPDATED: Final Approved Amount confirmed</t>
        </r>
      </text>
    </comment>
    <comment ref="O52" authorId="0" shapeId="0" xr:uid="{00000000-0006-0000-0300-00000F000000}">
      <text>
        <r>
          <rPr>
            <b/>
            <sz val="10"/>
            <color rgb="FF000000"/>
            <rFont val="Tahoma"/>
            <family val="2"/>
          </rPr>
          <t>Mohamed Roomy Mohamed Hassan:</t>
        </r>
        <r>
          <rPr>
            <sz val="10"/>
            <color rgb="FF000000"/>
            <rFont val="Tahoma"/>
            <family val="2"/>
          </rPr>
          <t xml:space="preserve">
</t>
        </r>
        <r>
          <rPr>
            <sz val="10"/>
            <color rgb="FF000000"/>
            <rFont val="Tahoma"/>
            <family val="2"/>
          </rPr>
          <t xml:space="preserve">Mohamed Roomy Mohamed Hassan:
</t>
        </r>
        <r>
          <rPr>
            <sz val="10"/>
            <color rgb="FF000000"/>
            <rFont val="Tahoma"/>
            <family val="2"/>
          </rPr>
          <t>Signed and sent DVO to RSG</t>
        </r>
      </text>
    </comment>
    <comment ref="O53" authorId="0" shapeId="0" xr:uid="{00000000-0006-0000-0300-00000E000000}">
      <text>
        <r>
          <rPr>
            <b/>
            <sz val="10"/>
            <color rgb="FF000000"/>
            <rFont val="Tahoma"/>
            <family val="2"/>
          </rPr>
          <t>Mohamed Roomy Mohamed Hassan:</t>
        </r>
        <r>
          <rPr>
            <sz val="10"/>
            <color rgb="FF000000"/>
            <rFont val="Tahoma"/>
            <family val="2"/>
          </rPr>
          <t xml:space="preserve">
Mohamed Roomy Mohamed Hassan:
Signed and sent DVO to RSG</t>
        </r>
      </text>
    </comment>
    <comment ref="N60" authorId="0" shapeId="0" xr:uid="{00000000-0006-0000-0300-00000C000000}">
      <text>
        <r>
          <rPr>
            <sz val="11"/>
            <color rgb="FF000000"/>
            <rFont val="Calibri"/>
            <family val="2"/>
            <scheme val="minor"/>
          </rPr>
          <t>Mohamed Roomy Mohamed Hassan:
UPDATED: Final Approved Amount = 7,557.19 (DVO Issued)</t>
        </r>
      </text>
    </comment>
    <comment ref="O60" authorId="0" shapeId="0" xr:uid="{00000000-0006-0000-0300-00000D000000}">
      <text>
        <r>
          <rPr>
            <sz val="11"/>
            <color rgb="FF000000"/>
            <rFont val="Calibri"/>
            <family val="2"/>
            <scheme val="minor"/>
          </rPr>
          <t>Mohamed Roomy Mohamed Hassan:
CHANGED: Was 'Pending with RSG/FFC' → 'DVO RR Issued'</t>
        </r>
      </text>
    </comment>
    <comment ref="N67" authorId="0" shapeId="0" xr:uid="{00000000-0006-0000-0300-000010000000}">
      <text>
        <r>
          <rPr>
            <b/>
            <sz val="10"/>
            <color rgb="FF000000"/>
            <rFont val="Tahoma"/>
            <family val="2"/>
          </rPr>
          <t>Mohamed Roomy Mohamed Hassan:</t>
        </r>
        <r>
          <rPr>
            <sz val="10"/>
            <color rgb="FF000000"/>
            <rFont val="Tahoma"/>
            <family val="2"/>
          </rPr>
          <t xml:space="preserve">
RSG Employer Assessment accepted amount for R06-HW2C05-TRS-VOR-CM-0043 FOH Panic Bar Hardware. Contractor proposal: SAR 8,287.40. Difference: -SAR 1,592.60 (Electromagnetic lock already included in Card Reader item per RSG).</t>
        </r>
      </text>
    </comment>
    <comment ref="O71" authorId="0" shapeId="0" xr:uid="{00000000-0006-0000-0300-000013000000}">
      <text>
        <r>
          <rPr>
            <b/>
            <sz val="28"/>
            <color rgb="FF000000"/>
            <rFont val="Tahoma"/>
            <family val="2"/>
          </rPr>
          <t>Mohamed Roomy Mohamed Hassan:</t>
        </r>
        <r>
          <rPr>
            <sz val="28"/>
            <color rgb="FF000000"/>
            <rFont val="Tahoma"/>
            <family val="2"/>
          </rPr>
          <t xml:space="preserve">
Signed and sent DVO to RSG</t>
        </r>
      </text>
    </comment>
    <comment ref="O81" authorId="0" shapeId="0" xr:uid="{00000000-0006-0000-0300-000012000000}">
      <text>
        <r>
          <rPr>
            <b/>
            <sz val="10"/>
            <color rgb="FF000000"/>
            <rFont val="Tahoma"/>
            <family val="2"/>
          </rPr>
          <t>Mohamed Roomy Mohamed Hassan:</t>
        </r>
        <r>
          <rPr>
            <sz val="10"/>
            <color rgb="FF000000"/>
            <rFont val="Tahoma"/>
            <family val="2"/>
          </rPr>
          <t xml:space="preserve">
Mohamed Roomy Mohamed Hassan:
Signed and sent DVO to RSG</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<sst xmlns="http://schemas.openxmlformats.org/spreadsheetml/2006/main" count="1053" uniqueCount="593">
  <si>
    <t>Payment Summary</t>
  </si>
  <si>
    <t>EXECUTIVE DASHBOARD</t>
  </si>
  <si>
    <t>R06-HW2C05  ·  SHURA WEST HOTEL 02  ·  FIRST FIX</t>
  </si>
  <si>
    <t>I.</t>
  </si>
  <si>
    <t>Contract &amp; Progress</t>
  </si>
  <si>
    <t>ORIGINAL CONTRACT</t>
  </si>
  <si>
    <t>REVISED CONTRACT</t>
  </si>
  <si>
    <t>TOTAL APPROVED WORK DONE</t>
  </si>
  <si>
    <t>BALANCE TO COMPLETE</t>
  </si>
  <si>
    <t>SAR</t>
  </si>
  <si>
    <t>SAR  ·  UPLIFT vs ORIGINAL</t>
  </si>
  <si>
    <t>SAR  ·  GROSS CLAIMED</t>
  </si>
  <si>
    <t>SAR  ·  GROSS</t>
  </si>
  <si>
    <t>II.</t>
  </si>
  <si>
    <t>Work &amp; Payment Progress</t>
  </si>
  <si>
    <t>III.</t>
  </si>
  <si>
    <t>Variation Orders</t>
  </si>
  <si>
    <t>STATUS</t>
  </si>
  <si>
    <t>%</t>
  </si>
  <si>
    <t>GROSS (SAR)</t>
  </si>
  <si>
    <t>NET (SAR)</t>
  </si>
  <si>
    <t>COUNT</t>
  </si>
  <si>
    <t>AMOUNT (SAR)</t>
  </si>
  <si>
    <t>Total Work Done</t>
  </si>
  <si>
    <t>Total Submitted VO</t>
  </si>
  <si>
    <t xml:space="preserve">  Received</t>
  </si>
  <si>
    <t xml:space="preserve">  Pending with FFC</t>
  </si>
  <si>
    <t xml:space="preserve">  Approved via ACONEX</t>
  </si>
  <si>
    <t xml:space="preserve">  Pending with RSG</t>
  </si>
  <si>
    <t xml:space="preserve">  Submitted in ACONEX</t>
  </si>
  <si>
    <t xml:space="preserve">  Pending with RSG/FFC</t>
  </si>
  <si>
    <t xml:space="preserve">  Under Review</t>
  </si>
  <si>
    <t xml:space="preserve">  Approved &amp; Awaiting DVO</t>
  </si>
  <si>
    <t>Balance to Complete</t>
  </si>
  <si>
    <t xml:space="preserve">  DVO RR Issued</t>
  </si>
  <si>
    <t>IV.</t>
  </si>
  <si>
    <t>Advance Payment</t>
  </si>
  <si>
    <t>V.</t>
  </si>
  <si>
    <t>Retention</t>
  </si>
  <si>
    <t>TOTAL ADVANCE</t>
  </si>
  <si>
    <t>TOTAL RETENTION</t>
  </si>
  <si>
    <t>5.0% rate</t>
  </si>
  <si>
    <t>DEDUCTED</t>
  </si>
  <si>
    <t>BALANCE</t>
  </si>
  <si>
    <t>Executive Dashboard  ·  Internal use only</t>
  </si>
  <si>
    <t>Chart Data (hidden)</t>
  </si>
  <si>
    <t>Commercial Payment Summary</t>
  </si>
  <si>
    <t>Work Progress</t>
  </si>
  <si>
    <t>Label</t>
  </si>
  <si>
    <t>Value</t>
  </si>
  <si>
    <t>COMMERCIAL</t>
  </si>
  <si>
    <t>Completed</t>
  </si>
  <si>
    <t>Remaining</t>
  </si>
  <si>
    <t>Contract Overview</t>
  </si>
  <si>
    <t>Advance</t>
  </si>
  <si>
    <t>Deducted</t>
  </si>
  <si>
    <t>Balance</t>
  </si>
  <si>
    <t>ORIGINAL CONTRACT VALUE</t>
  </si>
  <si>
    <t>REVISED CONTRACT VALUE</t>
  </si>
  <si>
    <t>VARIANCE</t>
  </si>
  <si>
    <t>UPLIFT vs ORIGINAL</t>
  </si>
  <si>
    <t>VO Status</t>
  </si>
  <si>
    <t>Pending FFC</t>
  </si>
  <si>
    <t>TOTAL CLAIMED (GROSS)</t>
  </si>
  <si>
    <t>BALANCE (GROSS)</t>
  </si>
  <si>
    <t>Pending RSG</t>
  </si>
  <si>
    <t>Pending RSG/FFC</t>
  </si>
  <si>
    <t>Approved/Awaiting DVO</t>
  </si>
  <si>
    <t>DVO RR Issued</t>
  </si>
  <si>
    <t>% COMPLETE</t>
  </si>
  <si>
    <t>TO BE ADDED IN CONTRACT</t>
  </si>
  <si>
    <t>TOTAL SUBMITTED VO VALUE</t>
  </si>
  <si>
    <t>APPROVED + DVO ISSUED  ·  SAR</t>
  </si>
  <si>
    <t>VANGUARD</t>
  </si>
  <si>
    <t>Commercial Summary  ·  Internal use only</t>
  </si>
  <si>
    <t>PAYMENT REGISTER-HW2C05</t>
  </si>
  <si>
    <t>`</t>
  </si>
  <si>
    <t>PROJECT DETAILS</t>
  </si>
  <si>
    <t>Summary of IPA's (without VAT)</t>
  </si>
  <si>
    <t xml:space="preserve">SUMMARY OF ADVANCE PAYMENT RECOVERY IPA </t>
  </si>
  <si>
    <t>Project:</t>
  </si>
  <si>
    <t>R06-HW2C05-5020</t>
  </si>
  <si>
    <t>Original Contract Value</t>
  </si>
  <si>
    <t>Contractor:</t>
  </si>
  <si>
    <t>First Fix</t>
  </si>
  <si>
    <t>Revised Contract Value</t>
  </si>
  <si>
    <t>Deducted till Date</t>
  </si>
  <si>
    <t>Contract Date:</t>
  </si>
  <si>
    <t>.</t>
  </si>
  <si>
    <t>Under Review</t>
  </si>
  <si>
    <t>Submitted on ACONEX</t>
  </si>
  <si>
    <t xml:space="preserve">SUMMARY OF RETENTION IPA </t>
  </si>
  <si>
    <t>Approved via Acconex</t>
  </si>
  <si>
    <t xml:space="preserve">Total Retention </t>
  </si>
  <si>
    <t>Received</t>
  </si>
  <si>
    <t xml:space="preserve">Balance Work Done </t>
  </si>
  <si>
    <t>No.</t>
  </si>
  <si>
    <t>Claim for Month / Invoice</t>
  </si>
  <si>
    <t xml:space="preserve">Gross Certified (Work executed) Amount             </t>
  </si>
  <si>
    <t>Advance Payment Recovery</t>
  </si>
  <si>
    <t>Back Charge</t>
  </si>
  <si>
    <t>Less Retention (10%)</t>
  </si>
  <si>
    <t>VAT Recovery for Advance Payment</t>
  </si>
  <si>
    <t>VAT 15%</t>
  </si>
  <si>
    <t>Net Payment Certified</t>
  </si>
  <si>
    <t xml:space="preserve">Payment Recieved From Client </t>
  </si>
  <si>
    <t>Balance Due</t>
  </si>
  <si>
    <t>Submitted Date
(FFC to TRSDC 1)</t>
  </si>
  <si>
    <t>Tax invoice sumbitted</t>
  </si>
  <si>
    <t>Due Date</t>
  </si>
  <si>
    <t>Payment Status</t>
  </si>
  <si>
    <t>Status</t>
  </si>
  <si>
    <t>Payment Collected Date</t>
  </si>
  <si>
    <t>Remarks</t>
  </si>
  <si>
    <t>FFC Live Action</t>
  </si>
  <si>
    <t>RSG Live Action</t>
  </si>
  <si>
    <t>AP01</t>
  </si>
  <si>
    <t>Adv Payment Invoice</t>
  </si>
  <si>
    <t>Transaction Received</t>
  </si>
  <si>
    <t>Transaction Placed</t>
  </si>
  <si>
    <t>AP02</t>
  </si>
  <si>
    <t>Adv Payment Invoice 2</t>
  </si>
  <si>
    <t>IPA 1</t>
  </si>
  <si>
    <t>Sept 20th 2023 – Dec 25th 2023</t>
  </si>
  <si>
    <t>Submitted Tax  Invoice via Acconex Waiting For the
Transaction</t>
  </si>
  <si>
    <t xml:space="preserve">To place the payment </t>
  </si>
  <si>
    <t>IPA 2</t>
  </si>
  <si>
    <t>Dec 25th 2023 – Jan 25th 2024</t>
  </si>
  <si>
    <t>15/04/2024</t>
  </si>
  <si>
    <t>Submitted Via acconex Waiting For payment Certificate</t>
  </si>
  <si>
    <t>To send the Payment Certifcate</t>
  </si>
  <si>
    <t>IPA 3</t>
  </si>
  <si>
    <t>Jan 25th 2024 – Feb 25th 2024</t>
  </si>
  <si>
    <t>23/04/2024</t>
  </si>
  <si>
    <t>Sent officially via mail/ Waiting for the Redsea assesment to Submit officially on Acconex</t>
  </si>
  <si>
    <t>Under Assesment</t>
  </si>
  <si>
    <t>IPA 4</t>
  </si>
  <si>
    <t>Feb 25th 2024 – Mar 25th 2024</t>
  </si>
  <si>
    <t>IPA 5</t>
  </si>
  <si>
    <t>Mar 25th 2024 – Apr 25th 2024</t>
  </si>
  <si>
    <t>14/06/2024</t>
  </si>
  <si>
    <t>IPA 6</t>
  </si>
  <si>
    <t>Apr 25th 2024 – May 25th 2024</t>
  </si>
  <si>
    <t>17/07/2024</t>
  </si>
  <si>
    <t>IPA 7</t>
  </si>
  <si>
    <t>May 25th 2024 – Jun 25th 2024</t>
  </si>
  <si>
    <t>13/08/2024</t>
  </si>
  <si>
    <t>IPA 8</t>
  </si>
  <si>
    <t>Jun 25th 2024 – Jul 25th 2024</t>
  </si>
  <si>
    <t>IPA 9</t>
  </si>
  <si>
    <t>Jul 25th 2024 – Aug 25th 2024</t>
  </si>
  <si>
    <t>IPA 10</t>
  </si>
  <si>
    <t>Aug 25th 2024 – Sep 25th 2024</t>
  </si>
  <si>
    <t>IPA 11</t>
  </si>
  <si>
    <t>Sep 25th 2024 – Oct 25th 2024</t>
  </si>
  <si>
    <t>IPA 12</t>
  </si>
  <si>
    <t>Oct 25th 2024 – Nov 25th 2024</t>
  </si>
  <si>
    <t>IPA 13</t>
  </si>
  <si>
    <t>Nov 25th 2024 – Dec 25th 2024</t>
  </si>
  <si>
    <t>IPA 14</t>
  </si>
  <si>
    <t>Dec 25th 2024 – Jan 25th 2025</t>
  </si>
  <si>
    <t>IPA 15</t>
  </si>
  <si>
    <t>Jan 25th 2025 – Feb 25th 2025</t>
  </si>
  <si>
    <t>IPA 16</t>
  </si>
  <si>
    <t>Feb 25th 2025 – Mar 25th 2025</t>
  </si>
  <si>
    <t>IPA 17</t>
  </si>
  <si>
    <t>Mar 25th 2025 – Apr 25th 2025</t>
  </si>
  <si>
    <t>IPA 18</t>
  </si>
  <si>
    <t>Apr 25th 2025 – May 25th 2025</t>
  </si>
  <si>
    <t>IPA 19</t>
  </si>
  <si>
    <t>May 25th 2025 – Jun 25th 2025</t>
  </si>
  <si>
    <t>IPA 20</t>
  </si>
  <si>
    <t>Jun 25th 2025 – Jul 25th 2025</t>
  </si>
  <si>
    <t>IPA 21</t>
  </si>
  <si>
    <t>Jul 25th 2025 – Aug 25th 2025</t>
  </si>
  <si>
    <t>IPA 22</t>
  </si>
  <si>
    <t>Aug 25th 2025 – Sep 25th 2025</t>
  </si>
  <si>
    <t>IPA 23</t>
  </si>
  <si>
    <t>Sep 25th 2025 – Oct 25th 2025</t>
  </si>
  <si>
    <t>IPA 24</t>
  </si>
  <si>
    <t>Oct 25th 2025 – Nov 25th 2025</t>
  </si>
  <si>
    <t>IPA 25</t>
  </si>
  <si>
    <t>Nov 25th 2025 – Dec 25th 2025</t>
  </si>
  <si>
    <t>IPA 26</t>
  </si>
  <si>
    <t>Dec 25th 2025 – Jan 25th 2026</t>
  </si>
  <si>
    <t>IPA 27</t>
  </si>
  <si>
    <t>Jan 25th 2026 – Feb 25th 2026</t>
  </si>
  <si>
    <t>IPA 28</t>
  </si>
  <si>
    <t>Feb 25th 2026 – Mar 25th 2026</t>
  </si>
  <si>
    <t>Paid</t>
  </si>
  <si>
    <t>IPA 29</t>
  </si>
  <si>
    <t>Mar 25th 2026 – Apr 25th 2026</t>
  </si>
  <si>
    <t>Tax Invoice sent on 23rd june 26</t>
  </si>
  <si>
    <t>IPA 30</t>
  </si>
  <si>
    <t>Apr 25th 2026 – May 25th 2026</t>
  </si>
  <si>
    <t>Tax Invoice sent on 12th July 26</t>
  </si>
  <si>
    <t>May 25th 2026 – June 25th 2026</t>
  </si>
  <si>
    <t xml:space="preserve">Submitted 09th July </t>
  </si>
  <si>
    <t>GRAND TOTAL</t>
  </si>
  <si>
    <t>The Red Sea Development Company</t>
  </si>
  <si>
    <t xml:space="preserve">Revised Contract </t>
  </si>
  <si>
    <t>S.No</t>
  </si>
  <si>
    <t>VO Number</t>
  </si>
  <si>
    <t xml:space="preserve">VO Date In Accinex </t>
  </si>
  <si>
    <t>DVO Reference</t>
  </si>
  <si>
    <t>Subject</t>
  </si>
  <si>
    <t>Submission</t>
  </si>
  <si>
    <t>Submission Type (RFP/VAR/Gen CORR)</t>
  </si>
  <si>
    <t>Submission ref#</t>
  </si>
  <si>
    <t>Response Email Ref</t>
  </si>
  <si>
    <t>Assesment</t>
  </si>
  <si>
    <t>Cost Proposal Value</t>
  </si>
  <si>
    <t>RSG Assesment</t>
  </si>
  <si>
    <t>To Summary</t>
  </si>
  <si>
    <t>VOR</t>
  </si>
  <si>
    <t>DVO Ref</t>
  </si>
  <si>
    <t>R Remarks</t>
  </si>
  <si>
    <t>RSG Remarks</t>
  </si>
  <si>
    <t>Raw Link</t>
  </si>
  <si>
    <t>Submission Link</t>
  </si>
  <si>
    <t>Done by</t>
  </si>
  <si>
    <t>DVO-CM-0002</t>
  </si>
  <si>
    <t>ETS Room Standby Equipment Removal</t>
  </si>
  <si>
    <t>VO</t>
  </si>
  <si>
    <t>FFC06HW2-GENCORR-000182</t>
  </si>
  <si>
    <t>DVO Issued</t>
  </si>
  <si>
    <t>R06-HW2C05-TRS-VOR-CM-0002</t>
  </si>
  <si>
    <t>R06-HW2C05-TRS-DVO-CM-0002</t>
  </si>
  <si>
    <t>Closed Out</t>
  </si>
  <si>
    <t>Closed / Agreed</t>
  </si>
  <si>
    <t xml:space="preserve">finished </t>
  </si>
  <si>
    <t>DVO-CM-0001</t>
  </si>
  <si>
    <t>Change in Generator from Biofuel to Standard Tier 1 Diesel</t>
  </si>
  <si>
    <t>TRS06HW2-GENCORR-000846</t>
  </si>
  <si>
    <t>R06-HW2C05-TRS-VOR-CM-0001</t>
  </si>
  <si>
    <t>R06-HW2C05-TRS-DVO-CM-0001</t>
  </si>
  <si>
    <t>DVO-CM-0005</t>
  </si>
  <si>
    <t>Issued for Construction (IFC N1) Documents Buildings</t>
  </si>
  <si>
    <t>FFC06HW2-GENCORR-000187</t>
  </si>
  <si>
    <t>FFC06HW2-GENCORR-000190</t>
  </si>
  <si>
    <t>R06-HW2C05-TRS-DVO-CM-0005</t>
  </si>
  <si>
    <t>Roomy</t>
  </si>
  <si>
    <t>Issued for Construction (IFC N1) Documents Infra</t>
  </si>
  <si>
    <t>R06-HW2C05-TRS-VOR-CM-0005</t>
  </si>
  <si>
    <t>Approved , Pending DVO</t>
  </si>
  <si>
    <t>Issued for Construction (IFC N1) Documents Pool</t>
  </si>
  <si>
    <t>FFC06HW2-GENCORR-000189</t>
  </si>
  <si>
    <t>Pending with RSG</t>
  </si>
  <si>
    <t>DVO-CM-0008</t>
  </si>
  <si>
    <t>Changing ACCU Room to Storage Room in Asset 60 (HOH)</t>
  </si>
  <si>
    <t>FFC06HW2-GENCORR-000192</t>
  </si>
  <si>
    <t>R06-HW2C05-TRS-VOR-CM-0008</t>
  </si>
  <si>
    <t>R06-HW2C05-TRS-DVO-CM-0008</t>
  </si>
  <si>
    <t>Pending with RSG/FFC</t>
  </si>
  <si>
    <t>DVO-CM-0007</t>
  </si>
  <si>
    <t>Relocation of CCTV cameras (6 nr) to meet operational requirements</t>
  </si>
  <si>
    <t>FFC06HW2-GENCORR-000207</t>
  </si>
  <si>
    <t>R06-HW2C05-TRS-VOR-CM-0007</t>
  </si>
  <si>
    <t>R06-HW2C05-TRS-DVO-CM-0007</t>
  </si>
  <si>
    <t>Pending with FFC</t>
  </si>
  <si>
    <t>DVO-CM-0015</t>
  </si>
  <si>
    <t>MEP Works inside Villas &amp; Clusters Bathrooms and associated Interfaces</t>
  </si>
  <si>
    <t>FFC06HW2-GENCORR-000212</t>
  </si>
  <si>
    <t>FFC06HW2-GENCORR-000261</t>
  </si>
  <si>
    <t>R06-HW2C05-TRS-VOR-CM-0015</t>
  </si>
  <si>
    <t>R06-HW2C05-TRS-DVO-CM-0015</t>
  </si>
  <si>
    <t>Not Eligible</t>
  </si>
  <si>
    <t>DVO-CM-0022</t>
  </si>
  <si>
    <t>Sewage Network final Tie-in to PPP Manhole - Additional Lift Station</t>
  </si>
  <si>
    <t>FFC06HW2-GENCORR-000343</t>
  </si>
  <si>
    <t>FFC06HW2-GENCORR-000368</t>
  </si>
  <si>
    <t>R06-HW2C05-TRS-VOR-CM-0022</t>
  </si>
  <si>
    <t>R06-HW2C05-TRS-DVO-CM-0022</t>
  </si>
  <si>
    <t>DVO-CM-0025</t>
  </si>
  <si>
    <t>Change from 13A single switch outlet to 13A twin switched socket outlet for the Minibar Fridge on HW2 Villas and Clusters</t>
  </si>
  <si>
    <t xml:space="preserve">
FFC06HW2-GENCORR-000413</t>
  </si>
  <si>
    <t>R06-HW2C05-TRS-VOR-CM-0025</t>
  </si>
  <si>
    <t>R06-HW2C05-TRS-DVO-CM-0025</t>
  </si>
  <si>
    <t xml:space="preserve">Aaqil </t>
  </si>
  <si>
    <t>DVO-CM-0004</t>
  </si>
  <si>
    <t>Changing Backup Strategy to Equipment Serving ICT Rooms Instruction Reference</t>
  </si>
  <si>
    <t>FFC06HW2-GENCORR-000247</t>
  </si>
  <si>
    <t>R06-HW2C05-TRS-VOR-CM-0004</t>
  </si>
  <si>
    <t>R06-HW2C05-TRS-DVO-CM-0004</t>
  </si>
  <si>
    <t>DVO-CM-0020</t>
  </si>
  <si>
    <t>Provision of Temporary Cooling to First In Place Assets</t>
  </si>
  <si>
    <t>FFC06HW2-GENCORR-000415</t>
  </si>
  <si>
    <t>R06-HW2C05-TRS-VOR-CM-0020</t>
  </si>
  <si>
    <t>R06-HW2C05-TRS-DVO-CM-0020</t>
  </si>
  <si>
    <t>DVO-CM-0027</t>
  </si>
  <si>
    <t>Omission of 13A twin socket outlets and Replace with combined MEP and ELV Faceplates</t>
  </si>
  <si>
    <t>FFC06HW2-GENCORR-000416</t>
  </si>
  <si>
    <t>R06-HW2C05-TRS-VOR-CM-0027</t>
  </si>
  <si>
    <t>R06-HW2C05-TRS-DVO-CM-0027</t>
  </si>
  <si>
    <t>DVO-CM-0026</t>
  </si>
  <si>
    <t>Change in Bollard Lighting Fixtures luminaire ref. LA1</t>
  </si>
  <si>
    <t>FFC06HW2-GENCORR-000406</t>
  </si>
  <si>
    <t>R06-HW2C05-TRS-VOR-CM-0026</t>
  </si>
  <si>
    <t>R06-HW2C05-TRS-VOR-DVO-0026</t>
  </si>
  <si>
    <t>DVO-CM-0012</t>
  </si>
  <si>
    <t>HW2 Family Pool Enlargement</t>
  </si>
  <si>
    <t>FFC06HW2-GENCORR-000244</t>
  </si>
  <si>
    <t>R06-HW2C05-TRS-VOR-CM-0012</t>
  </si>
  <si>
    <t xml:space="preserve"> R06-HW2C05-TRS-DVO-CM-0012_C0</t>
  </si>
  <si>
    <t>Chamintha</t>
  </si>
  <si>
    <t>DVO-CM-0034</t>
  </si>
  <si>
    <t>Supply and Installation of (Direct-buried type) Valve for Potable Water &amp; Irrigation System</t>
  </si>
  <si>
    <t>FFC06HW2-GENCORR-000519</t>
  </si>
  <si>
    <t>R06-HW2C05-TRS-VOR-CM-0034</t>
  </si>
  <si>
    <t>FFC agreed with RSG value; DVO to be processed</t>
  </si>
  <si>
    <t>Aaqil</t>
  </si>
  <si>
    <t>Omission of FCU's Supplying Kitchen Preparation Rooms in HoH</t>
  </si>
  <si>
    <t>FFC06HW2-GENCORR-000208</t>
  </si>
  <si>
    <t>R06-HW2C05-TRS-VOR-CM-0009</t>
  </si>
  <si>
    <t>FFC responded dated 6-Aug-25/ RSG to check MIR for the delivered FCU prior to the VO issuance..</t>
  </si>
  <si>
    <t>Open in Aconex</t>
  </si>
  <si>
    <t>Creation of Informal Sand Paths for Improved Beach Access</t>
  </si>
  <si>
    <t>2/152/2026</t>
  </si>
  <si>
    <t>FFC06HW2-GENCORR-000700</t>
  </si>
  <si>
    <t xml:space="preserve"> R06-HW2C05-TRS-VOR-CM-0055</t>
  </si>
  <si>
    <t>Documents are submitted officially on ACONEX and wating for RSG Assessment</t>
  </si>
  <si>
    <t>Main Pool Bar - Sunken Bar Drain Piping to Waste Network</t>
  </si>
  <si>
    <t>FFC06HW2-GENCORR-000443</t>
  </si>
  <si>
    <t>R06-HW2C05-TRS-VOR-CM-0021_C0</t>
  </si>
  <si>
    <t xml:space="preserve">Pending with FFC
RSG rejects the cost proposal and requested for a revision. The cost is deemed very excessive due to incorrect rates applied.
I (e.g RMF Filter, Heat pump, etc.).
</t>
  </si>
  <si>
    <t>Supply and installation of the required missing kitchen drainage pipelines in the Kitchen Areas at Amenity &amp; HOH buildings</t>
  </si>
  <si>
    <t xml:space="preserve">	FFC06HW2-GENCORR-000463</t>
  </si>
  <si>
    <t>FFC06HW2-GENCORR-000463</t>
  </si>
  <si>
    <t>R06-HW2C05-TRS-VOR-CM-0033</t>
  </si>
  <si>
    <t>FFC accepted RSG assessment on 12-May-2026 via email</t>
  </si>
  <si>
    <t>MEP related works due to the Lifting Station Electrical Panel Relocation</t>
  </si>
  <si>
    <t>FFC06HW2-GENCORR-000681</t>
  </si>
  <si>
    <t>R06-HW2C05-TRS-VOR-CM-0045</t>
  </si>
  <si>
    <t>Connection of Pool Overflow Drain to Sump Pit instead of Manhole</t>
  </si>
  <si>
    <t>FFC06HW2-GENCORR-000440</t>
  </si>
  <si>
    <t>R06-HW2C05-TRS-VOR-CM-0018</t>
  </si>
  <si>
    <t xml:space="preserve">Awaiting FFC response </t>
  </si>
  <si>
    <t>Hizam</t>
  </si>
  <si>
    <t>Omission of Fire Dampers Mounted on 1 Hour Fire Rated Walls</t>
  </si>
  <si>
    <t>FFC06HW2-GENCORR-000250</t>
  </si>
  <si>
    <t>R06-HW2C05-TRS-VOR-CM-0011</t>
  </si>
  <si>
    <t>Omission of External Emergency Lights above Fire Hose Cabinet</t>
  </si>
  <si>
    <t>FFC06HW2-GENCORR-000260</t>
  </si>
  <si>
    <t>R06-HW2C05-TRS-VOR-CM-0013</t>
  </si>
  <si>
    <t xml:space="preserve">DVO RR issued for 131k after they have revised the assesmnet befor they consider BOQ now the considered the drawing we checked the drawing and agreed this value as per drawing </t>
  </si>
  <si>
    <t>Omission of Fire Protection Inside Transformer Rooms</t>
  </si>
  <si>
    <t>FFC06HW2-GENCORR-000211</t>
  </si>
  <si>
    <t>FFC06HW2-GENCORR-000445</t>
  </si>
  <si>
    <t>R06-HW2C05-TRS-VOR-CM-0006</t>
  </si>
  <si>
    <t xml:space="preserve">Additional Fire Suppression system in the Signature Restaurant </t>
  </si>
  <si>
    <t>FFC06HW2-GENCORR-000405</t>
  </si>
  <si>
    <t>R06-HW2C05-TRS-VOR-CM-0019_C0</t>
  </si>
  <si>
    <t>Omit 2Nr. of Inaccessible Wall Sockets (EE-PL38) and Replace with 2Nr Floor Box having 1Nr Outlet (Electrical Provision) at Asset-14 (Children &amp; Teen Center Bldg.)</t>
  </si>
  <si>
    <t>FFC06HW2-GENCORR-000454</t>
  </si>
  <si>
    <t>R06-HW2C05-TRS-VOR-CM-0039</t>
  </si>
  <si>
    <t>Documents are submitted officially on ACONEX wating for RSG Assessment</t>
  </si>
  <si>
    <t>Chaminda</t>
  </si>
  <si>
    <t>Simplification of Pools Channel Detailing in 10 nr 3 Bedroom Villa Pools</t>
  </si>
  <si>
    <t xml:space="preserve">
FFC06HW2-GENCORR-000456</t>
  </si>
  <si>
    <t>R06-HW2C05-TRS-VOR-CM-0032</t>
  </si>
  <si>
    <t>MEP provisions related to the cocoon water feature in the reception area of the Arrival building (Asset-10).</t>
  </si>
  <si>
    <t>FFC06HW2-GENCORR-000506</t>
  </si>
  <si>
    <t>R06-HW2C05-TRS-VOR-CM-0028</t>
  </si>
  <si>
    <t>Reduction of the primary irrigation loop along with Points of Connections (POCs)</t>
  </si>
  <si>
    <t>FFC06HW2-GENCORR-000246</t>
  </si>
  <si>
    <t>R06-HW2C05-TRS-VOR-CM-0016</t>
  </si>
  <si>
    <t xml:space="preserve">Agreed and replied </t>
  </si>
  <si>
    <t>FFC</t>
  </si>
  <si>
    <t>Hassan</t>
  </si>
  <si>
    <t>Modification to Telephone Operator Room in HOH (Asset 60)</t>
  </si>
  <si>
    <t>FFC06HW2-GENCORR-000306</t>
  </si>
  <si>
    <t>R06-HW2C05-TRS-VOR-CM-0017_C0</t>
  </si>
  <si>
    <t>Accepted Waiting For DVO</t>
  </si>
  <si>
    <t>Provision of electrical power connection on motorised roller shutter in the kitchen areas at HOH (Asset 60)</t>
  </si>
  <si>
    <t>FFC06HW2-GENCORR-000414</t>
  </si>
  <si>
    <t>R06-HW2C05-TRS-VOR-CM-0024</t>
  </si>
  <si>
    <t>Approved Awaiting for DVO</t>
  </si>
  <si>
    <t>SPA - Addition of Missed Small Power and Data Requirements</t>
  </si>
  <si>
    <t>15-10-20255</t>
  </si>
  <si>
    <t>FFC06HW2-GENCORR-000488</t>
  </si>
  <si>
    <t>R06-HW2C05-TRS-VOR-CM-0035</t>
  </si>
  <si>
    <t>FFC Repied to RSG Comments</t>
  </si>
  <si>
    <t>Replacement of FOH Panic Bar Hardware on External Doors for Assets 10, 13, 22, and 23 (MEP Works</t>
  </si>
  <si>
    <t>FFC06HW2-GENCORR-000698</t>
  </si>
  <si>
    <t>R06-HW2C05-TRS-VOR-CM-0043</t>
  </si>
  <si>
    <t>Additional Buggy Charging points (MEP Works)</t>
  </si>
  <si>
    <t>R06-HW2C05-TRS-VOR-CM-0058</t>
  </si>
  <si>
    <t>Change of Fire-rated Cables Buried in the Infrastructure</t>
  </si>
  <si>
    <t>FFC06HW2-GENCORR-000259</t>
  </si>
  <si>
    <t>R06-HW2C05-TRS-VOR-CM-0014</t>
  </si>
  <si>
    <t>FFC Sent all related documents to RSG to support  there Proposal waiting Reply From RSG</t>
  </si>
  <si>
    <t>RE: GW Light fitting to Villa terraces - Request for Quotation/Pricing</t>
  </si>
  <si>
    <t>Gen CORR</t>
  </si>
  <si>
    <t>FFC06HW2-GENCORR-000704</t>
  </si>
  <si>
    <t>R06-HW2C05-TRS-VOR-CM-0057</t>
  </si>
  <si>
    <t>Documents are submitted via  Email and wating for RSG Response</t>
  </si>
  <si>
    <t>RSG: Marked-up drawings missing — please issue updated VOR with marked-up drawings included.</t>
  </si>
  <si>
    <t>Signature Restaurant - Additional Works associated with the Internal Planter within the All Day Dining</t>
  </si>
  <si>
    <t>FFC06HW2-GENCORR-000699</t>
  </si>
  <si>
    <t>R06-HW2C05-TRS-VOR-CM-0049</t>
  </si>
  <si>
    <t>Documents are submitted officially on ACONEX and wating for RSG Assessment on 14-Feb-2026</t>
  </si>
  <si>
    <t>Omission of Fire extinguisher cabinet (Ref. FEC) which are built into wall and relocate the Fire Extinguiser only to the nearby joinery</t>
  </si>
  <si>
    <t>FFC06HW2-GENCORR-000566</t>
  </si>
  <si>
    <t>R06-HW2C05-TRS-VOR-CM-0040</t>
  </si>
  <si>
    <t>FFC need to review quantity</t>
  </si>
  <si>
    <t>A-20 Recreation Family Pool - additional washdown area including water and power provision</t>
  </si>
  <si>
    <t>R06-HW2C05-TRS-VOR-CM-0052</t>
  </si>
  <si>
    <t>Waiting fro Mechanical Shop Drawing From FFC Technical Team</t>
  </si>
  <si>
    <t>Omission of the sand trap louvers in Asset 67 (Minor Substation)</t>
  </si>
  <si>
    <t>FFC06HW2-GENCORR-000694</t>
  </si>
  <si>
    <t>R06-HW2C05-TRS-VOR-CM-0044</t>
  </si>
  <si>
    <t>Rimash</t>
  </si>
  <si>
    <t>Omission of Skylight Sprinklers</t>
  </si>
  <si>
    <t>FFC06HW2-GENCORR-000691</t>
  </si>
  <si>
    <t>R06-HW2C05-TRS-VOR-CM-0053</t>
  </si>
  <si>
    <t>Documents are submitted officially on ACONEX and wating for RSG Assessment on 11-Feb-2026</t>
  </si>
  <si>
    <t>MEP works required due to relocation of Villa External Areas Showers</t>
  </si>
  <si>
    <t>FFC06HW2-GENCORR-000490</t>
  </si>
  <si>
    <t>FFC06HW2-GENCORR-000491</t>
  </si>
  <si>
    <t>R06-HW2C05-TRS-VOR-CM-0023</t>
  </si>
  <si>
    <t>FFC submtted revised cost proposal via email 12-May-2026</t>
  </si>
  <si>
    <t>MEP related work requirements due to additional HOH Kitchen Ceiling</t>
  </si>
  <si>
    <t>R06-HW2C05-TRS-VOR-CM-0051</t>
  </si>
  <si>
    <t>FFC sumitted a Revised Submission (R1) and wating for RSG Assessment</t>
  </si>
  <si>
    <t>Addition of external signage control panel's and ommission of the generator annunciator panel in the Fire Command Centre</t>
  </si>
  <si>
    <t>R06-HW2C05-TRS-VOR-CM-0036</t>
  </si>
  <si>
    <t>Addition of EV Charging Station for Hotel Asset Staff Vehicles</t>
  </si>
  <si>
    <t>R06-HW2C05-TRS-VOR-CM-0038</t>
  </si>
  <si>
    <t>Implementation of Changes Following Operator and RSG Inspection – FIP Villa and Cluster (MEP Works)</t>
  </si>
  <si>
    <t>R06-HW2C05-TRS-VOR-CM-0050_C0</t>
  </si>
  <si>
    <t xml:space="preserve">Only 1 villa and 1 clusture required this work </t>
  </si>
  <si>
    <t>Supplementary Conduit and Embedded Works for speciality restaurant and long bar and pool</t>
  </si>
  <si>
    <t>FFC06HW2-GENCORR-000158</t>
  </si>
  <si>
    <t>* FFC submtted revised cost proposal via email 12-May-2026</t>
  </si>
  <si>
    <t>Kitchen Drainage Pipe Installation</t>
  </si>
  <si>
    <t>FFC06HW2-GENCORR-000248</t>
  </si>
  <si>
    <t>Documents are submitted officially on ACONEX wating for RSG Assessment on 5-Feb-2025</t>
  </si>
  <si>
    <t>MEP related works associated with the construction of the First in Place (FIP) villa pool (Asset 30-04)</t>
  </si>
  <si>
    <t>FFC06HW2-GENCORR-000457</t>
  </si>
  <si>
    <t>R06-HW2C05-TRS-VOR-CM-0030 (Rev.1)</t>
  </si>
  <si>
    <t>Documents are submitted officially on ACONEX wating for RSG Assessment on 5-Oct-2025</t>
  </si>
  <si>
    <t>MEP related changes to the cabanas</t>
  </si>
  <si>
    <t>FFC06HW2-GENCORR-000453</t>
  </si>
  <si>
    <t>R06-HW2C05-TRS-VOR-CM-0031</t>
  </si>
  <si>
    <t>Documents are submitted officially on ACONEX wating for RSG Assessment on 22-Sep-2025</t>
  </si>
  <si>
    <t>RFI-Change in Air Outlet Type and Size for Asset 60 (HOH) and Asset 61 (Utility Hub)</t>
  </si>
  <si>
    <t>RFI</t>
  </si>
  <si>
    <t>FFC06HW2-GENCORR-000497</t>
  </si>
  <si>
    <t>Documents are submitted officially on ACONEX and wating for RSG Assessment on 9-Nov-2025</t>
  </si>
  <si>
    <t>Proposed changes to ICT rooms Air Outlet type and
size for Asset 10 (Arrival Hub), Asset 13 (Meeting Room) and Asset 14 (Children Center)</t>
  </si>
  <si>
    <t>FFC06HW2-GENCORR-000567</t>
  </si>
  <si>
    <t>Documents are submitted officially on ACONEX and wating for RSG Assessment on 7-Jan-2026</t>
  </si>
  <si>
    <t>Removal of foot wash (bib taps) on the entrance of 3 Bedroom type villas; including relocation of shower drain piping works of 3-Bedroom and 4-Bedroom</t>
  </si>
  <si>
    <t>FFC06HW2-GENCORR-000533</t>
  </si>
  <si>
    <t>R06-HW2C05-TRS-VOR-CM-0046_C0</t>
  </si>
  <si>
    <t>Relocation and alignment of sprinklers, smoke detector and light fittings to the Affected Areas of the FIP and Sales Villas</t>
  </si>
  <si>
    <t>R06-HW2C05-TRS-VOR-CM-0054</t>
  </si>
  <si>
    <t xml:space="preserve">FFC Technical Team waiting  clarification from RSG Technical Team  talked to abdul moti he will arange combined meeting for the clarification some bilding they have mentioned TBC </t>
  </si>
  <si>
    <t>Implementation of changes to the 3-Bedroom Sales Villa (MEP Works)</t>
  </si>
  <si>
    <t xml:space="preserve">R06-HW2C05-TRS-VOR-CM-0056 </t>
  </si>
  <si>
    <t>Supply of Addtional Fan for Main Pool Plant Room</t>
  </si>
  <si>
    <t>2/132/2026</t>
  </si>
  <si>
    <t>FFC06HW2-GENCORR-000695</t>
  </si>
  <si>
    <t>Documents were officially submitted on ACONEX and are awaiting RSG assessment.</t>
  </si>
  <si>
    <t>Damage No 21 Chilled Water Pipe (Zone 4, Asset 31-04B)</t>
  </si>
  <si>
    <t>FFC06HW2-GENCORR-000418</t>
  </si>
  <si>
    <t>RSG Sent a Letter on the Role of RSG to Facilitate</t>
  </si>
  <si>
    <t>Omission of Bathroom Downlights which are to be free-issued to the MEP Contractor that were supplied by the Bathroom Pod Contractor (SBW)</t>
  </si>
  <si>
    <t>R06-HW2C05-TRS-VOR-CM-0010</t>
  </si>
  <si>
    <t>FFC requested that RSG reduce the cost to zero and hand over the materials.</t>
  </si>
  <si>
    <t>Enhancement of Beach Cabanas</t>
  </si>
  <si>
    <t>R06-HW2C05-TRS-VOR-CM-0061</t>
  </si>
  <si>
    <t>Type of Air Outlets Change from SLD to FBD by ID - All FOH Buildings</t>
  </si>
  <si>
    <t>FFC06HW2-GENCORR-000495</t>
  </si>
  <si>
    <t>R06-HW2C05-TRS-VOR-CM-0042</t>
  </si>
  <si>
    <t>FFC Will Submit revised Cost Proposa 8th june</t>
  </si>
  <si>
    <t>HOH &amp; Utility Building Ramp Light Updates, Kitchen Equipment DP Switch Addition &amp; Cable Type Change</t>
  </si>
  <si>
    <t>FFC06HW2-GENCORR-000703</t>
  </si>
  <si>
    <t>R06-HW2C05-TRS-VOR-CM-0048</t>
  </si>
  <si>
    <t>Missing Items in Asset 60 (HOH)</t>
  </si>
  <si>
    <t>R06-HW2C05-TRS-VOR-CM-0065</t>
  </si>
  <si>
    <t>Cost Proposal submitted to RSG via Aconex on 15-June-2026</t>
  </si>
  <si>
    <t>Cable containment including conduits, boxes, accessories, supports to allow P1 access panel and Door Contacts (to 3-Bed and 4-Bed Villas maid room doors)</t>
  </si>
  <si>
    <t>R06-HW2C05-TRS-VOR-CM-0067</t>
  </si>
  <si>
    <t>Rinse Showers Plumbing and Drainage Provisions to the HW2 main pool, family pool and fitness pool areas.</t>
  </si>
  <si>
    <t>R06-HW2C05-TRS-VOR-CM-0047_</t>
  </si>
  <si>
    <t>FFC submitted the Cost proposal on 16-June-2026</t>
  </si>
  <si>
    <t>Extension of the ductwork to connect to the newly designated location of the extract louvre including associated works to Speciality Restaurant</t>
  </si>
  <si>
    <t>R06-HW2C05-TRS-VOR-CM-0066</t>
  </si>
  <si>
    <t>Requested details from Abdul Muti.</t>
  </si>
  <si>
    <t>VO-63</t>
  </si>
  <si>
    <t>Omission of 5A Floor boxes (ref. FB) &amp; spike light (ref. PK) and replace with 5A switched socket outlets to the wall</t>
  </si>
  <si>
    <t>Prepared cost proposal; awaiting invoices for delivered FB and PK to claim from Red Sea.</t>
  </si>
  <si>
    <t>Supply and Installation of cable containment for GSM Hybrid Cables</t>
  </si>
  <si>
    <t>R06-HW2C05-TRS-VOR-CM-0037</t>
  </si>
  <si>
    <t>FFC submitted the Cost proposal on 08-July-2026</t>
  </si>
  <si>
    <t>Cable Copper Price Fluctuation</t>
  </si>
  <si>
    <t>25/09/2024</t>
  </si>
  <si>
    <t>FFC06HW2-GENCORR-000193</t>
  </si>
  <si>
    <t>Accepted; awaiting DVO.</t>
  </si>
  <si>
    <t>HW2C05 Ligting Control System</t>
  </si>
  <si>
    <t>FFC06HW2-GENCORR-000191</t>
  </si>
  <si>
    <t>FFC06HW2-RESP-000056</t>
  </si>
  <si>
    <t>Submitted to RSG; assessment and discussion ongoing to finalize with RSG.</t>
  </si>
  <si>
    <t>Request for Quotation/ Pricing - HW2 Maintenance of Temporary Utilities &amp; Switch over to Permanent Power</t>
  </si>
  <si>
    <t>FFC06HW2-GENCORR-000508</t>
  </si>
  <si>
    <t>R06-HW2C05-TRS-VOR-CM-0041</t>
  </si>
  <si>
    <t>Diesel Supply</t>
  </si>
  <si>
    <t>FFC06HW2-GENCORR-000419</t>
  </si>
  <si>
    <t xml:space="preserve">RSG requested a detailed breakdown with proper supporting evidence.FFC Sent genarator break down </t>
  </si>
  <si>
    <t>Provision of fireproof sealant works associated with the GSM System Installation - External Fiber Cable works</t>
  </si>
  <si>
    <t>R06-HW2C05-TRS-VOR-CM-0060</t>
  </si>
  <si>
    <t>Quotation received; substantiation in progress. Quotation states sealant quantity as 5 pails only, so a building-by-building survey is required to identify and mark all FLS and ELV penetration points, followed by a rate breakup for each point — this will take additional time.</t>
  </si>
  <si>
    <t>CCTV embedded drainage pipe survey including jetting of the pipes for any blockages</t>
  </si>
  <si>
    <t>R06-HW2C05-TRS-VOR-CM-0062</t>
  </si>
  <si>
    <t>Eng. Najeed to request PO.</t>
  </si>
  <si>
    <t>Provision of Power/Lighting for External Artwork Pieces</t>
  </si>
  <si>
    <t>R06-HW2C05-TRS-VOR-CM-0064</t>
  </si>
  <si>
    <t xml:space="preserve">No shop drawing still contacted latest 22nd Jul With rami </t>
  </si>
  <si>
    <t>Modifications due to Manhole clashes with Accommodation Entrance Pathways</t>
  </si>
  <si>
    <t>R06-HW2C05-TRS-VOR-CM-0069</t>
  </si>
  <si>
    <t>Rerouting MEP Services Requirement (Asset 63-05)</t>
  </si>
  <si>
    <t>R06-HW2C05-TRS-VOR-CM-0068</t>
  </si>
  <si>
    <t>Amenities - Add Drywall, Relocate Fire Alarm Panel</t>
  </si>
  <si>
    <t>R06-HW2C05-TRS-VOR-CM-0070</t>
  </si>
  <si>
    <t>Relocation of Arrivals Fire Alarm Panel</t>
  </si>
  <si>
    <t>R06-HW2C05-TRS-VOR-CM-0074</t>
  </si>
  <si>
    <t>HOH Offices Door Change Panic Bar to Maglock</t>
  </si>
  <si>
    <t>R06-HW2C05-TRS-VOR-CM-0077</t>
  </si>
  <si>
    <t>Relocation of MEP Outlets Due to Kitchen Coordination Issues – Assets 63-2, 63-3, 63-6 and 63-7</t>
  </si>
  <si>
    <t>R06-HW2C05-TRS-VOR-CM-0080</t>
  </si>
  <si>
    <t>Re: TMV location change in HW2 villas pantry</t>
  </si>
  <si>
    <t>FFC06HW2-GENCORR-000496</t>
  </si>
  <si>
    <t>Not elligible</t>
  </si>
  <si>
    <t>TOTAL APPROVED VOs Value:</t>
  </si>
  <si>
    <t>in asset scedule include each asset ommision and pleanum recovery for each asset</t>
  </si>
  <si>
    <t>Currancy SAR</t>
  </si>
  <si>
    <t>PAYMENT STATUS</t>
  </si>
  <si>
    <t>Gross amount</t>
  </si>
  <si>
    <t>Net amount</t>
  </si>
  <si>
    <t xml:space="preserve">Received </t>
  </si>
  <si>
    <t>VO STATUS</t>
  </si>
  <si>
    <t>Approved &amp; Awaiting for the  DVO to be issued</t>
  </si>
  <si>
    <t>VARIATION ORDER LOG</t>
  </si>
  <si>
    <t>HW2 MEP  |  Pay Reg &amp; VO Tracking</t>
  </si>
  <si>
    <t>TOTAL VOs</t>
  </si>
  <si>
    <t>DVO ISSUED</t>
  </si>
  <si>
    <t>APPROVED</t>
  </si>
  <si>
    <t>PENDING RSG/FFC</t>
  </si>
  <si>
    <t>PENDING RSG</t>
  </si>
  <si>
    <t>PENDING FFC</t>
  </si>
  <si>
    <t>APPROVED VALUE</t>
  </si>
  <si>
    <t>Count</t>
  </si>
  <si>
    <t>Submitted</t>
  </si>
  <si>
    <t>Awaiting DVO</t>
  </si>
  <si>
    <t>Joint Review</t>
  </si>
  <si>
    <t>Under Assessment</t>
  </si>
  <si>
    <t>Action Required</t>
  </si>
  <si>
    <t>SAR Total</t>
  </si>
  <si>
    <t>Approved</t>
  </si>
  <si>
    <t>#</t>
  </si>
  <si>
    <t>SUBJECT</t>
  </si>
  <si>
    <t>TYPE</t>
  </si>
  <si>
    <t>SUBMITTED</t>
  </si>
  <si>
    <t>COST PROPOSAL</t>
  </si>
  <si>
    <t>RSG ASSESSMENT</t>
  </si>
  <si>
    <t>FINAL APPROVED</t>
  </si>
  <si>
    <t>VOR REF</t>
  </si>
  <si>
    <t>DVO REF</t>
  </si>
  <si>
    <t>SUBMISSION REF</t>
  </si>
  <si>
    <t>FFC REMARKS</t>
  </si>
  <si>
    <t>LIVE ACTION</t>
  </si>
  <si>
    <t>RSG REMARKS</t>
  </si>
  <si>
    <t>ASSIGNED</t>
  </si>
  <si>
    <t>✅  DVO RR ISSUED</t>
  </si>
  <si>
    <t>19 items</t>
  </si>
  <si>
    <t>🔵  APPROVED — AWAITING DVO</t>
  </si>
  <si>
    <t>6 items</t>
  </si>
  <si>
    <t>🟡  PENDING WITH RSG/FFC</t>
  </si>
  <si>
    <t>10 items</t>
  </si>
  <si>
    <t>PENDING WITH RSG</t>
  </si>
  <si>
    <t>28 items</t>
  </si>
  <si>
    <t xml:space="preserve">  PENDING WITH FFC</t>
  </si>
  <si>
    <t>NOT ELIGIBLE</t>
  </si>
  <si>
    <t>1 items</t>
  </si>
  <si>
    <t>TOTAL</t>
  </si>
  <si>
    <t>FFC submitted the Cost proposal on 29-July-2026</t>
  </si>
  <si>
    <t>Arrival Speaker Removal and Making Good above Water Feature</t>
  </si>
  <si>
    <t>R06-HW2C05-TRS-VOR-CM-0084</t>
  </si>
  <si>
    <t>RSG mail TRS06HW2-VAR-OR-000467 — acknowledge by 09-Aug-2026 (signature + date of signing required)</t>
  </si>
  <si>
    <t>MBOH ICT Control Room - Replace Clean Agent with Wet Sprinkler System</t>
  </si>
  <si>
    <t>R06-HW2C05-TRS-VOR-CM-0085</t>
  </si>
  <si>
    <t>RSG mail TRS06HW2-VAR-OR-000468 — acknowledge by 09-Aug-2026 (signature + date of signing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</si>
</sst>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_(* \(#,##0.00\);_(* &quot;-&quot;??_);_(@_)"/>
    <numFmt numFmtId="164" formatCode="_-* #,##0.00_-;\-* #,##0.00_-;_-* &quot;-&quot;??_-;_-@_-"/>
    <numFmt numFmtId="165" formatCode="dddd\,\ mmmm\ dd\,\ yyyy"/>
    <numFmt numFmtId="166" formatCode="m/d/yy;@"/>
    <numFmt numFmtId="167" formatCode="[$-F800]dddd\,\ mmmm\ dd\,\ yyyy"/>
    <numFmt numFmtId="168" formatCode="&quot;SAR&quot;#,##0.00"/>
    <numFmt numFmtId="169" formatCode="m/d/yy"/>
    <numFmt numFmtId="170" formatCode="_(* #,##0_);_(* \(#,##0\);_(* &quot;-&quot;??_);_(@_)"/>
    <numFmt numFmtId="171" formatCode="#,###"/>
    <numFmt numFmtId="172" formatCode="[$-409]d\-mmm\-yyyy;@"/>
    <numFmt numFmtId="173" formatCode="[$-409]d/mmm/yy;@"/>
    <numFmt numFmtId="174" formatCode="0.0%"/>
    <numFmt numFmtId="175" formatCode="0.00_);[Red]\(0.00\)"/>
    <numFmt numFmtId="176" formatCode="[&gt;=1000000]#,##0.00,,&quot; M&quot;;[&gt;=1000]#,##0,&quot; K&quot;;#,##0.00"/>
    <numFmt numFmtId="177" formatCode="\+0.00%;\-0.00%;\-"/>
    <numFmt numFmtId="178" formatCode="0.0%&quot; rate&quot;"/>
    <numFmt numFmtId="179" formatCode="0%&quot; rate&quot;"/>
    <numFmt numFmtId="180" formatCode="0.0%&quot; complete&quot;"/>
    <numFmt numFmtId="181" formatCode="0.0%&quot; remaining&quot;"/>
  </numFmts>
  <fonts count="239">
    <font>
      <sz val="11"/>
      <color theme="1"/>
      <name val="Calibri"/>
      <charset val="134"/>
      <scheme val="minor"/>
    </font>
    <font>
      <sz val="11"/>
      <color theme="1"/>
      <name val="Calibri"/>
      <family val="2"/>
      <scheme val="minor"/>
    </font>
    <font>
      <b/>
      <sz val="28"/>
      <color rgb="FFFFFFFF"/>
      <name val="Century Gothic"/>
      <family val="1"/>
    </font>
    <font>
      <sz val="12"/>
      <color rgb="FFC5A065"/>
      <name val="Century Gothic"/>
      <family val="1"/>
    </font>
    <font>
      <sz val="11"/>
      <color rgb="FFC5A065"/>
      <name val="Century Gothic"/>
      <family val="1"/>
    </font>
    <font>
      <b/>
      <sz val="9"/>
      <color rgb="FF0A2533"/>
      <name val="Century Gothic"/>
      <family val="1"/>
    </font>
    <font>
      <b/>
      <sz val="28"/>
      <color rgb="FF008C95"/>
      <name val="Calibri Light"/>
      <family val="2"/>
    </font>
    <font>
      <b/>
      <sz val="28"/>
      <color rgb="FF2E7D32"/>
      <name val="Calibri Light"/>
      <family val="2"/>
    </font>
    <font>
      <b/>
      <sz val="28"/>
      <color rgb="FFC5A065"/>
      <name val="Calibri Light"/>
      <family val="2"/>
    </font>
    <font>
      <b/>
      <sz val="28"/>
      <color rgb="FFD84315"/>
      <name val="Calibri Light"/>
      <family val="2"/>
    </font>
    <font>
      <b/>
      <sz val="28"/>
      <color rgb="FFE65100"/>
      <name val="Calibri Light"/>
      <family val="2"/>
    </font>
    <font>
      <b/>
      <sz val="22"/>
      <color rgb="FF008C95"/>
      <name val="Calibri Light"/>
      <family val="2"/>
    </font>
    <font>
      <sz val="9"/>
      <color rgb="FF666666"/>
      <name val="Calibri Light"/>
      <family val="2"/>
    </font>
    <font>
      <b/>
      <sz val="10"/>
      <color rgb="FFFFFFFF"/>
      <name val="Century Gothic"/>
      <family val="1"/>
    </font>
    <font>
      <b/>
      <sz val="11"/>
      <color rgb="FF1B5E20"/>
      <name val="Century Gothic"/>
      <family val="1"/>
    </font>
    <font>
      <b/>
      <i/>
      <sz val="10"/>
      <color rgb="FF1B5E20"/>
      <name val="Century Gothic"/>
      <family val="1"/>
    </font>
    <font>
      <sz val="9"/>
      <color rgb="FF999999"/>
      <name val="Calibri Light"/>
      <family val="2"/>
    </font>
    <font>
      <sz val="10"/>
      <color rgb="FF1A1A1A"/>
      <name val="Calibri Light"/>
      <family val="2"/>
    </font>
    <font>
      <sz val="9"/>
      <color rgb="FF1A1A1A"/>
      <name val="Calibri Light"/>
      <family val="2"/>
    </font>
    <font>
      <b/>
      <sz val="10"/>
      <color rgb="FF1A1A1A"/>
      <name val="Calibri Light"/>
      <family val="2"/>
    </font>
    <font>
      <b/>
      <sz val="8"/>
      <color rgb="FFFFFFFF"/>
      <name val="Calibri Light"/>
      <family val="2"/>
    </font>
    <font>
      <sz val="8"/>
      <color rgb="FF666666"/>
      <name val="Calibri Light"/>
      <family val="2"/>
    </font>
    <font>
      <b/>
      <sz val="11"/>
      <color rgb="FF004D40"/>
      <name val="Century Gothic"/>
      <family val="1"/>
    </font>
    <font>
      <b/>
      <i/>
      <sz val="10"/>
      <color rgb="FF004D40"/>
      <name val="Century Gothic"/>
      <family val="1"/>
    </font>
    <font>
      <b/>
      <sz val="11"/>
      <color rgb="FFE65100"/>
      <name val="Century Gothic"/>
      <family val="1"/>
    </font>
    <font>
      <b/>
      <i/>
      <sz val="10"/>
      <color rgb="FFE65100"/>
      <name val="Century Gothic"/>
      <family val="1"/>
    </font>
    <font>
      <b/>
      <sz val="11"/>
      <color rgb="FFBF360C"/>
      <name val="Century Gothic"/>
      <family val="1"/>
    </font>
    <font>
      <b/>
      <i/>
      <sz val="10"/>
      <color rgb="FFBF360C"/>
      <name val="Century Gothic"/>
      <family val="1"/>
    </font>
    <font>
      <b/>
      <sz val="11"/>
      <color rgb="FF880E4F"/>
      <name val="Century Gothic"/>
      <family val="1"/>
    </font>
    <font>
      <b/>
      <i/>
      <sz val="10"/>
      <color rgb="FF880E4F"/>
      <name val="Century Gothic"/>
      <family val="1"/>
    </font>
    <font>
      <b/>
      <sz val="11"/>
      <color rgb="FFFFFFFF"/>
      <name val="Century Gothic"/>
      <family val="1"/>
    </font>
    <font>
      <b/>
      <sz val="11"/>
      <color rgb="FFC5A065"/>
      <name val="Calibri Light"/>
      <family val="2"/>
    </font>
    <font>
      <b/>
      <sz val="11"/>
      <color rgb="FFFFFFFF"/>
      <name val="Calibri Light"/>
      <family val="2"/>
    </font>
    <font>
      <b/>
      <sz val="12"/>
      <color theme="0"/>
      <name val="Calibri"/>
      <family val="2"/>
      <scheme val="minor"/>
    </font>
    <font>
      <sz val="12"/>
      <color theme="0"/>
      <name val="Calibri"/>
      <family val="2"/>
      <scheme val="minor"/>
    </font>
    <font>
      <sz val="12"/>
      <color theme="1"/>
      <name val="Calibri"/>
      <family val="2"/>
      <scheme val="minor"/>
    </font>
    <font>
      <b/>
      <sz val="12"/>
      <color theme="0"/>
      <name val="Chalkboard SE Regular"/>
      <charset val="134"/>
    </font>
    <font>
      <b/>
      <sz val="12"/>
      <color theme="1"/>
      <name val="Calibri"/>
      <family val="2"/>
      <scheme val="minor"/>
    </font>
    <font>
      <b/>
      <sz val="12"/>
      <color theme="8" tint="-0.499984740745262"/>
      <name val="Calibri"/>
      <family val="2"/>
      <scheme val="minor"/>
    </font>
    <font>
      <sz val="12"/>
      <color theme="8" tint="-0.499984740745262"/>
      <name val="Calibri"/>
      <family val="2"/>
      <scheme val="minor"/>
    </font>
    <font>
      <sz val="18"/>
      <name val="Open Sans"/>
      <family val="2"/>
    </font>
    <font>
      <b/>
      <sz val="26"/>
      <color theme="1"/>
      <name val="Abadi"/>
      <family val="2"/>
    </font>
    <font>
      <b/>
      <sz val="26"/>
      <color theme="1"/>
      <name val="Open Sans"/>
      <family val="2"/>
    </font>
    <font>
      <b/>
      <sz val="26"/>
      <color rgb="FFFFFFFF"/>
      <name val="Century Gothic"/>
      <family val="1"/>
    </font>
    <font>
      <b/>
      <sz val="36"/>
      <color theme="0"/>
      <name val="Plantagenet Cherokee"/>
      <family val="1"/>
    </font>
    <font>
      <b/>
      <sz val="12"/>
      <color rgb="FFFFFFFF"/>
      <name val="Century Gothic"/>
      <family val="1"/>
    </font>
    <font>
      <sz val="12"/>
      <name val="Open Sans Medium"/>
      <charset val="134"/>
    </font>
    <font>
      <sz val="14"/>
      <name val="Open Sans"/>
      <family val="2"/>
    </font>
    <font>
      <sz val="20"/>
      <name val="Open Sans"/>
      <family val="2"/>
    </font>
    <font>
      <sz val="20"/>
      <color theme="1"/>
      <name val="Open Sans Medium"/>
      <charset val="134"/>
    </font>
    <font>
      <sz val="11"/>
      <color theme="1"/>
      <name val="Open Sans Medium"/>
      <charset val="134"/>
    </font>
    <font>
      <sz val="11"/>
      <color theme="1"/>
      <name val="Google Sans Regular"/>
      <charset val="134"/>
    </font>
    <font>
      <sz val="14"/>
      <name val="Google Sans Regular"/>
      <charset val="134"/>
    </font>
    <font>
      <sz val="28"/>
      <name val="Google Sans Regular"/>
      <charset val="134"/>
    </font>
    <font>
      <sz val="26"/>
      <color theme="0"/>
      <name val="Open Sans Medium"/>
      <charset val="134"/>
    </font>
    <font>
      <b/>
      <sz val="28"/>
      <color rgb="FFFFFFFF"/>
      <name val="Plantagenet Cherokee"/>
      <family val="1"/>
    </font>
    <font>
      <b/>
      <sz val="14"/>
      <color rgb="FFFFFFFF"/>
      <name val="Open Sans Medium"/>
      <charset val="134"/>
    </font>
    <font>
      <b/>
      <sz val="20"/>
      <color rgb="FFFFFFFF"/>
      <name val="Open Sans Medium"/>
      <charset val="134"/>
    </font>
    <font>
      <b/>
      <sz val="14"/>
      <color theme="0"/>
      <name val="Open Sans Medium"/>
      <charset val="134"/>
    </font>
    <font>
      <sz val="12"/>
      <color rgb="FFC5A065"/>
      <name val="Open Sans Medium"/>
      <charset val="134"/>
    </font>
    <font>
      <b/>
      <sz val="12"/>
      <color rgb="FFC5A065"/>
      <name val="Open Sans Medium"/>
      <charset val="134"/>
    </font>
    <font>
      <sz val="20"/>
      <color rgb="FFC5A065"/>
      <name val="Open Sans Medium"/>
      <charset val="134"/>
    </font>
    <font>
      <b/>
      <sz val="36"/>
      <color rgb="FFFFFFFF"/>
      <name val="Century Gothic"/>
      <family val="1"/>
    </font>
    <font>
      <b/>
      <sz val="24"/>
      <color theme="0"/>
      <name val="Open Sans"/>
      <family val="2"/>
    </font>
    <font>
      <b/>
      <sz val="24"/>
      <color rgb="FFFFFFFF"/>
      <name val="Century Gothic"/>
      <family val="1"/>
    </font>
    <font>
      <b/>
      <sz val="24"/>
      <color rgb="FFFFFFFF"/>
      <name val="Open Sans"/>
      <family val="2"/>
    </font>
    <font>
      <b/>
      <sz val="18"/>
      <color rgb="FFFFFFFF"/>
      <name val="Open Sans"/>
      <family val="2"/>
    </font>
    <font>
      <b/>
      <sz val="20"/>
      <color rgb="FF0A2533"/>
      <name val="Open Sans"/>
      <family val="2"/>
    </font>
    <font>
      <b/>
      <sz val="18"/>
      <color rgb="FF0A2533"/>
      <name val="Open Sans"/>
      <family val="2"/>
    </font>
    <font>
      <b/>
      <sz val="26"/>
      <color rgb="FFFFFFFF"/>
      <name val="Open Sans"/>
      <family val="2"/>
    </font>
    <font>
      <b/>
      <sz val="20"/>
      <name val="Open Sans"/>
      <family val="2"/>
    </font>
    <font>
      <b/>
      <sz val="22"/>
      <color rgb="FF0A2533"/>
      <name val="Open Sans"/>
      <family val="2"/>
    </font>
    <font>
      <b/>
      <sz val="16"/>
      <color rgb="FF0A2533"/>
      <name val="Open Sans"/>
      <family val="2"/>
    </font>
    <font>
      <b/>
      <sz val="22"/>
      <color rgb="FFFFFFFF"/>
      <name val="Open Sans"/>
      <family val="2"/>
    </font>
    <font>
      <b/>
      <sz val="22"/>
      <color theme="1"/>
      <name val="Open Sans"/>
      <family val="2"/>
    </font>
    <font>
      <b/>
      <sz val="22"/>
      <color rgb="FFD4583A"/>
      <name val="Open Sans"/>
      <family val="2"/>
    </font>
    <font>
      <b/>
      <sz val="28"/>
      <color rgb="FFFFFFFF"/>
      <name val="Open Sans"/>
      <family val="2"/>
    </font>
    <font>
      <b/>
      <sz val="34"/>
      <color rgb="FFD4583A"/>
      <name val="Open Sans"/>
      <family val="2"/>
    </font>
    <font>
      <b/>
      <sz val="34"/>
      <color rgb="FF8B6914"/>
      <name val="Open Sans"/>
      <family val="2"/>
    </font>
    <font>
      <b/>
      <sz val="34"/>
      <color rgb="FF008C95"/>
      <name val="Open Sans"/>
      <family val="2"/>
    </font>
    <font>
      <b/>
      <sz val="34"/>
      <color rgb="FF0A2533"/>
      <name val="Open Sans"/>
      <family val="2"/>
    </font>
    <font>
      <b/>
      <sz val="20"/>
      <color theme="1"/>
      <name val="Open Sans Medium"/>
      <charset val="134"/>
    </font>
    <font>
      <b/>
      <sz val="16"/>
      <color theme="1"/>
      <name val="Open Sans Medium"/>
      <charset val="134"/>
    </font>
    <font>
      <b/>
      <sz val="18"/>
      <color theme="1"/>
      <name val="Open Sans Medium"/>
      <charset val="134"/>
    </font>
    <font>
      <sz val="18"/>
      <color theme="1"/>
      <name val="Open Sans Medium"/>
      <charset val="134"/>
    </font>
    <font>
      <b/>
      <sz val="18"/>
      <name val="Open Sans"/>
      <family val="2"/>
    </font>
    <font>
      <b/>
      <sz val="18"/>
      <color theme="0"/>
      <name val="Open Sans"/>
      <family val="2"/>
    </font>
    <font>
      <b/>
      <sz val="22"/>
      <color rgb="FFFFFFFF"/>
      <name val="Century Gothic"/>
      <family val="1"/>
    </font>
    <font>
      <b/>
      <sz val="24"/>
      <color rgb="FFFFFFFF"/>
      <name val="Google Sans Regular"/>
      <charset val="134"/>
    </font>
    <font>
      <b/>
      <sz val="24"/>
      <color rgb="FF0A2533"/>
      <name val="Google Sans Regular"/>
      <charset val="134"/>
    </font>
    <font>
      <sz val="24"/>
      <color rgb="FF0A2533"/>
      <name val="Google Sans Regular"/>
      <charset val="134"/>
    </font>
    <font>
      <sz val="22"/>
      <color rgb="FF0A2533"/>
      <name val="Google Sans Regular"/>
      <charset val="134"/>
    </font>
    <font>
      <sz val="28"/>
      <color rgb="FF0A2533"/>
      <name val="Google Sans Regular"/>
      <charset val="134"/>
    </font>
    <font>
      <b/>
      <sz val="26"/>
      <color theme="1"/>
      <name val="Google Sans Regular"/>
      <charset val="134"/>
    </font>
    <font>
      <b/>
      <sz val="20"/>
      <color rgb="FF0A2533"/>
      <name val="Google Sans Regular"/>
      <charset val="134"/>
    </font>
    <font>
      <b/>
      <sz val="28"/>
      <color rgb="FF0A2533"/>
      <name val="Google Sans Regular"/>
      <charset val="134"/>
    </font>
    <font>
      <b/>
      <sz val="28"/>
      <name val="Google Sans Regular"/>
      <charset val="134"/>
    </font>
    <font>
      <b/>
      <sz val="26"/>
      <color rgb="FF0A2533"/>
      <name val="Google Sans Regular"/>
      <charset val="134"/>
    </font>
    <font>
      <b/>
      <sz val="28"/>
      <color rgb="FFD4583A"/>
      <name val="Open Sans"/>
      <family val="2"/>
    </font>
    <font>
      <b/>
      <sz val="28"/>
      <color rgb="FF008C95"/>
      <name val="Open Sans"/>
      <family val="2"/>
    </font>
    <font>
      <b/>
      <sz val="28"/>
      <color rgb="FFC5A065"/>
      <name val="Open Sans"/>
      <family val="2"/>
    </font>
    <font>
      <sz val="11"/>
      <color rgb="FF0A2533"/>
      <name val="Open Sans Medium"/>
      <charset val="134"/>
    </font>
    <font>
      <sz val="20"/>
      <color rgb="FF0A2533"/>
      <name val="Open Sans Medium"/>
      <charset val="134"/>
    </font>
    <font>
      <b/>
      <sz val="28"/>
      <color rgb="FFC5A065"/>
      <name val="Google Sans Regular"/>
      <charset val="134"/>
    </font>
    <font>
      <b/>
      <sz val="28"/>
      <color rgb="FFFFFFFF"/>
      <name val="Google Sans Regular"/>
      <charset val="134"/>
    </font>
    <font>
      <sz val="24"/>
      <color theme="1"/>
      <name val="Open Sans Medium"/>
      <charset val="134"/>
    </font>
    <font>
      <b/>
      <sz val="18"/>
      <color theme="1"/>
      <name val="Nunito"/>
    </font>
    <font>
      <sz val="16"/>
      <color theme="1"/>
      <name val="Open Sans Medium"/>
      <charset val="134"/>
    </font>
    <font>
      <sz val="11"/>
      <color theme="1"/>
      <name val="Plantagenet Cherokee"/>
      <family val="1"/>
    </font>
    <font>
      <sz val="11"/>
      <color theme="1"/>
      <name val="DM Sans 14pt"/>
      <charset val="134"/>
    </font>
    <font>
      <sz val="11"/>
      <color rgb="FF0A2533"/>
      <name val="Calibri Light"/>
      <family val="2"/>
    </font>
    <font>
      <sz val="10"/>
      <color rgb="FFFFFFFF"/>
      <name val="Century Gothic"/>
      <family val="1"/>
    </font>
    <font>
      <sz val="8"/>
      <color rgb="FFC5A065"/>
      <name val="Century Gothic"/>
      <family val="1"/>
    </font>
    <font>
      <sz val="9"/>
      <color rgb="FFC5A065"/>
      <name val="Century Gothic"/>
      <family val="1"/>
    </font>
    <font>
      <i/>
      <sz val="11"/>
      <color rgb="FFC5A065"/>
      <name val="Plantagenet Cherokee"/>
      <family val="1"/>
    </font>
    <font>
      <b/>
      <sz val="18"/>
      <color rgb="FF0A2533"/>
      <name val="Plantagenet Cherokee"/>
      <family val="1"/>
    </font>
    <font>
      <sz val="8"/>
      <color rgb="FF6B7280"/>
      <name val="Century Gothic"/>
      <family val="1"/>
    </font>
    <font>
      <b/>
      <sz val="22"/>
      <color rgb="FF0A2533"/>
      <name val="Calibri Light"/>
      <family val="2"/>
    </font>
    <font>
      <b/>
      <sz val="22"/>
      <color rgb="FFC5A065"/>
      <name val="Calibri Light"/>
      <family val="2"/>
    </font>
    <font>
      <b/>
      <sz val="20"/>
      <color rgb="FF008C95"/>
      <name val="Calibri Light"/>
      <family val="2"/>
    </font>
    <font>
      <sz val="12"/>
      <color rgb="FF6B7280"/>
      <name val="Calibri Light"/>
      <family val="2"/>
    </font>
    <font>
      <b/>
      <sz val="16"/>
      <color rgb="FF0A2533"/>
      <name val="Calibri Light"/>
      <family val="2"/>
    </font>
    <font>
      <b/>
      <sz val="26"/>
      <color rgb="FF008C95"/>
      <name val="Calibri Light"/>
      <family val="2"/>
    </font>
    <font>
      <b/>
      <sz val="26"/>
      <color rgb="FFC5A065"/>
      <name val="Calibri Light"/>
      <family val="2"/>
    </font>
    <font>
      <sz val="9"/>
      <color rgb="FF6B7280"/>
      <name val="Century Gothic"/>
      <family val="1"/>
    </font>
    <font>
      <sz val="16"/>
      <color rgb="FFC5A065"/>
      <name val="Calibri Light"/>
      <family val="2"/>
    </font>
    <font>
      <b/>
      <sz val="8"/>
      <color rgb="FF6B7280"/>
      <name val="Century Gothic"/>
      <family val="1"/>
    </font>
    <font>
      <b/>
      <sz val="13"/>
      <color rgb="FF0A2533"/>
      <name val="Century Gothic"/>
      <family val="1"/>
    </font>
    <font>
      <b/>
      <sz val="13"/>
      <color rgb="FF008C95"/>
      <name val="Calibri Light"/>
      <family val="2"/>
    </font>
    <font>
      <b/>
      <sz val="11"/>
      <color rgb="FF0A2533"/>
      <name val="Century Gothic"/>
      <family val="1"/>
    </font>
    <font>
      <b/>
      <i/>
      <sz val="13"/>
      <color rgb="FFC5A065"/>
      <name val="Plantagenet Cherokee"/>
      <family val="1"/>
    </font>
    <font>
      <b/>
      <sz val="13"/>
      <color rgb="FFC5A065"/>
      <name val="Calibri Light"/>
      <family val="2"/>
    </font>
    <font>
      <sz val="12"/>
      <color rgb="FF1C1C1C"/>
      <name val="Calibri Light"/>
      <family val="2"/>
    </font>
    <font>
      <b/>
      <sz val="11"/>
      <color rgb="FFC5A065"/>
      <name val="Century Gothic"/>
      <family val="1"/>
    </font>
    <font>
      <sz val="12"/>
      <color rgb="FF6E5420"/>
      <name val="Calibri Light"/>
      <family val="2"/>
    </font>
    <font>
      <b/>
      <sz val="11"/>
      <color rgb="FF008C95"/>
      <name val="Century Gothic"/>
      <family val="1"/>
    </font>
    <font>
      <b/>
      <sz val="12"/>
      <color rgb="FF6E5420"/>
      <name val="Calibri Light"/>
      <family val="2"/>
    </font>
    <font>
      <b/>
      <sz val="10"/>
      <color rgb="FFC5A065"/>
      <name val="Plantagenet Cherokee"/>
      <family val="1"/>
    </font>
    <font>
      <sz val="8"/>
      <color rgb="FF0A2533"/>
      <name val="Calibri Light"/>
      <family val="2"/>
    </font>
    <font>
      <sz val="8"/>
      <color rgb="FFFFFFFF"/>
      <name val="Century Gothic"/>
      <family val="1"/>
    </font>
    <font>
      <b/>
      <sz val="11"/>
      <color theme="1"/>
      <name val="Calibri"/>
      <family val="2"/>
      <scheme val="minor"/>
    </font>
    <font>
      <sz val="11"/>
      <color rgb="FF1C1C1C"/>
      <name val="Calibri"/>
      <family val="2"/>
      <scheme val="minor"/>
    </font>
    <font>
      <b/>
      <sz val="14"/>
      <color rgb="FFD9B877"/>
      <name val="Plantagenet Cherokee"/>
      <family val="1"/>
    </font>
    <font>
      <b/>
      <sz val="32"/>
      <color rgb="FFF5ECD8"/>
      <name val="Plantagenet Cherokee"/>
      <family val="1"/>
    </font>
    <font>
      <sz val="10"/>
      <color rgb="FFF5ECD8"/>
      <name val="Century Gothic"/>
      <family val="1"/>
    </font>
    <font>
      <sz val="8"/>
      <color rgb="FF1C1C1C"/>
      <name val="Calibri"/>
      <family val="2"/>
    </font>
    <font>
      <sz val="9"/>
      <color rgb="FFD9B877"/>
      <name val="Century Gothic"/>
      <family val="1"/>
    </font>
    <font>
      <sz val="8"/>
      <color rgb="FFD9B877"/>
      <name val="Century Gothic"/>
      <family val="1"/>
    </font>
    <font>
      <b/>
      <i/>
      <sz val="11"/>
      <color rgb="FF9C7A2E"/>
      <name val="Plantagenet Cherokee"/>
      <family val="1"/>
    </font>
    <font>
      <sz val="20"/>
      <color rgb="FF1C1C1C"/>
      <name val="Plantagenet Cherokee"/>
      <family val="1"/>
    </font>
    <font>
      <sz val="8"/>
      <color rgb="FF5B5446"/>
      <name val="Century Gothic"/>
      <family val="1"/>
    </font>
    <font>
      <sz val="9"/>
      <color rgb="FF6E5420"/>
      <name val="Century Gothic"/>
      <family val="1"/>
    </font>
    <font>
      <sz val="9"/>
      <color rgb="FFA64B2A"/>
      <name val="Century Gothic"/>
      <family val="1"/>
    </font>
    <font>
      <b/>
      <sz val="28"/>
      <color rgb="FF1C1C1C"/>
      <name val="Calibri Light"/>
      <family val="2"/>
    </font>
    <font>
      <b/>
      <sz val="28"/>
      <color rgb="FF6E5420"/>
      <name val="Calibri Light"/>
      <family val="2"/>
    </font>
    <font>
      <b/>
      <sz val="28"/>
      <color rgb="FFA64B2A"/>
      <name val="Calibri Light"/>
      <family val="2"/>
    </font>
    <font>
      <sz val="18"/>
      <color rgb="FF1C1C1C"/>
      <name val="Plantagenet Cherokee"/>
      <family val="1"/>
    </font>
    <font>
      <sz val="14"/>
      <color rgb="FF1C1C1C"/>
      <name val="Plantagenet Cherokee"/>
      <family val="1"/>
    </font>
    <font>
      <b/>
      <sz val="14"/>
      <color rgb="FF6E5420"/>
      <name val="Calibri Light"/>
      <family val="2"/>
    </font>
    <font>
      <sz val="11"/>
      <color rgb="FF1C1C1C"/>
      <name val="Century Gothic"/>
      <family val="1"/>
    </font>
    <font>
      <sz val="11"/>
      <color rgb="FF6E5420"/>
      <name val="Century Gothic"/>
      <family val="1"/>
    </font>
    <font>
      <i/>
      <sz val="13"/>
      <color rgb="FFA64B2A"/>
      <name val="Plantagenet Cherokee"/>
      <family val="1"/>
    </font>
    <font>
      <b/>
      <sz val="13"/>
      <color rgb="FFA64B2A"/>
      <name val="Calibri Light"/>
      <family val="2"/>
    </font>
    <font>
      <b/>
      <sz val="11"/>
      <color rgb="FF6E5420"/>
      <name val="Century Gothic"/>
      <family val="1"/>
    </font>
    <font>
      <sz val="9"/>
      <color rgb="FF5B5446"/>
      <name val="Century Gothic"/>
      <family val="1"/>
    </font>
    <font>
      <b/>
      <sz val="26"/>
      <color rgb="FF6E5420"/>
      <name val="Calibri Light"/>
      <family val="2"/>
    </font>
    <font>
      <b/>
      <sz val="18"/>
      <color rgb="FF1C1C1C"/>
      <name val="Calibri Light"/>
      <family val="2"/>
    </font>
    <font>
      <b/>
      <sz val="18"/>
      <color rgb="FF6E5420"/>
      <name val="Calibri Light"/>
      <family val="2"/>
    </font>
    <font>
      <sz val="18"/>
      <color rgb="FFA64B2A"/>
      <name val="Calibri Light"/>
      <family val="2"/>
    </font>
    <font>
      <b/>
      <sz val="10"/>
      <color rgb="FFD9B877"/>
      <name val="Plantagenet Cherokee"/>
      <family val="1"/>
    </font>
    <font>
      <sz val="8"/>
      <color rgb="FF9C8B65"/>
      <name val="Century Gothic"/>
      <family val="1"/>
    </font>
    <font>
      <u/>
      <sz val="11"/>
      <color theme="10"/>
      <name val="Calibri"/>
      <family val="2"/>
      <scheme val="minor"/>
    </font>
    <font>
      <sz val="10"/>
      <name val="Arial"/>
      <family val="2"/>
    </font>
    <font>
      <sz val="11"/>
      <name val="Arial"/>
      <family val="2"/>
    </font>
    <font>
      <sz val="12"/>
      <color indexed="0"/>
      <name val="Arial"/>
      <family val="2"/>
    </font>
    <font>
      <sz val="9"/>
      <name val="Verdana"/>
      <family val="2"/>
    </font>
    <font>
      <sz val="11"/>
      <color rgb="FF000000"/>
      <name val="Calibri"/>
      <family val="2"/>
      <scheme val="minor"/>
    </font>
    <font>
      <sz val="11"/>
      <color rgb="FF000000"/>
      <name val="Calibri"/>
      <family val="2"/>
    </font>
    <font>
      <b/>
      <sz val="10"/>
      <color rgb="FF000000"/>
      <name val="Tahoma"/>
      <family val="2"/>
    </font>
    <font>
      <sz val="10"/>
      <color rgb="FF000000"/>
      <name val="Tahoma"/>
      <family val="2"/>
    </font>
    <font>
      <sz val="20"/>
      <color rgb="FF000000"/>
      <name val="Tahoma"/>
      <family val="2"/>
    </font>
    <font>
      <b/>
      <sz val="20"/>
      <color rgb="FF000000"/>
      <name val="Tahoma"/>
      <family val="2"/>
    </font>
    <font>
      <sz val="18"/>
      <color rgb="FF000000"/>
      <name val="Calibri"/>
      <family val="2"/>
    </font>
    <font>
      <b/>
      <sz val="28"/>
      <color rgb="FF000000"/>
      <name val="Tahoma"/>
      <family val="2"/>
    </font>
    <font>
      <sz val="28"/>
      <color rgb="FF000000"/>
      <name val="Tahoma"/>
      <family val="2"/>
    </font>
    <font>
      <sz val="11"/>
      <color theme="1"/>
      <name val="Calibri"/>
      <family val="2"/>
      <scheme val="minor"/>
    </font>
    <font>
      <sz val="11"/>
      <color theme="0"/>
      <name val="Calibri"/>
      <family val="2"/>
      <scheme val="minor"/>
    </font>
    <font>
      <b/>
      <sz val="36"/>
      <color rgb="FFD4583A"/>
      <name val="DM Sans 14pt"/>
    </font>
    <font>
      <b/>
      <sz val="36"/>
      <color rgb="FF8B6914"/>
      <name val="DM Sans 14pt"/>
    </font>
    <font>
      <b/>
      <sz val="36"/>
      <color rgb="FF008C95"/>
      <name val="DM Sans 14pt"/>
    </font>
    <font>
      <b/>
      <sz val="36"/>
      <color rgb="FF0A2533"/>
      <name val="DM Sans 14pt"/>
    </font>
    <font>
      <b/>
      <sz val="18"/>
      <color rgb="FF0A2540"/>
      <name val="DM Sans 14pt"/>
    </font>
    <font>
      <sz val="18"/>
      <color rgb="FF2B2F36"/>
      <name val="DM Sans 14pt"/>
    </font>
    <font>
      <sz val="12"/>
      <color rgb="FF2B2F36"/>
      <name val="DM Sans 14pt"/>
    </font>
    <font>
      <b/>
      <sz val="18"/>
      <color theme="9" tint="-0.249977111117893"/>
      <name val="DM Sans 14pt"/>
    </font>
    <font>
      <sz val="18"/>
      <name val="DM Sans 14pt"/>
    </font>
    <font>
      <sz val="18"/>
      <color theme="1"/>
      <name val="DM Sans 14pt"/>
    </font>
    <font>
      <b/>
      <sz val="36"/>
      <color rgb="FFFFFFFF"/>
      <name val="DM Sans 14pt"/>
    </font>
    <font>
      <b/>
      <sz val="36"/>
      <color theme="0"/>
      <name val="DM Sans 14pt"/>
    </font>
    <font>
      <b/>
      <sz val="26"/>
      <color rgb="FFFFFFFF"/>
      <name val="DM Sans 14pt"/>
    </font>
    <font>
      <b/>
      <sz val="28"/>
      <color rgb="FFFFFFFF"/>
      <name val="DM Sans 14pt"/>
    </font>
    <font>
      <sz val="26"/>
      <color rgb="FF2B2F36"/>
      <name val="DM Sans 14pt"/>
    </font>
    <font>
      <sz val="18"/>
      <color rgb="FF0A2540"/>
      <name val="DM Sans 14pt"/>
    </font>
    <font>
      <sz val="11"/>
      <color rgb="FF0A2540"/>
      <name val="DM Sans 14pt"/>
    </font>
    <font>
      <b/>
      <sz val="36"/>
      <color rgb="FF2B2F36"/>
      <name val="DM Sans 14pt"/>
    </font>
    <font>
      <b/>
      <i/>
      <sz val="18"/>
      <color theme="9" tint="-0.249977111117893"/>
      <name val="DM Sans 14pt"/>
    </font>
    <font>
      <b/>
      <sz val="18"/>
      <color rgb="FFFFFFFF"/>
      <name val="DM Sans 14pt"/>
    </font>
    <font>
      <b/>
      <sz val="12"/>
      <color rgb="FFFFFFFF"/>
      <name val="DM Sans 14pt"/>
    </font>
    <font>
      <b/>
      <i/>
      <sz val="18"/>
      <color rgb="FFFFFFFF"/>
      <name val="DM Sans 14pt"/>
    </font>
    <font>
      <sz val="12"/>
      <color theme="1"/>
      <name val="DM Sans 14pt"/>
    </font>
    <font>
      <sz val="20"/>
      <name val="DM Sans 14pt"/>
    </font>
    <font>
      <sz val="11"/>
      <color theme="1"/>
      <name val="DM Sans 14pt"/>
    </font>
    <font>
      <sz val="28"/>
      <color rgb="FF0A2533"/>
      <name val="Google Sans Regular"/>
    </font>
    <font>
      <sz val="24"/>
      <color theme="1"/>
      <name val="DM Sans 14pt"/>
    </font>
    <font>
      <b/>
      <sz val="24"/>
      <color theme="1"/>
      <name val="DM Sans 14pt"/>
    </font>
    <font>
      <i/>
      <sz val="24"/>
      <color theme="1"/>
      <name val="DM Sans 14pt"/>
    </font>
    <font>
      <i/>
      <sz val="24"/>
      <color rgb="FF2B2F36"/>
      <name val="DM Sans 14pt"/>
    </font>
    <font>
      <sz val="24"/>
      <color rgb="FF2B2F36"/>
      <name val="DM Sans 14pt"/>
    </font>
    <font>
      <b/>
      <i/>
      <sz val="24"/>
      <color theme="9" tint="-0.249977111117893"/>
      <name val="DM Sans 14pt"/>
    </font>
    <font>
      <i/>
      <sz val="24"/>
      <color rgb="FF000000"/>
      <name val="DM Sans 14pt"/>
    </font>
    <font>
      <b/>
      <i/>
      <sz val="24"/>
      <color theme="7" tint="-0.249977111117893"/>
      <name val="DM Sans 14pt"/>
    </font>
    <font>
      <sz val="26"/>
      <color theme="1"/>
      <name val="DM Sans 14pt"/>
    </font>
    <font>
      <sz val="22"/>
      <color theme="1"/>
      <name val="Open Sans Medium"/>
      <charset val="134"/>
    </font>
    <font>
      <sz val="28"/>
      <color theme="1"/>
      <name val="Open Sans Medium"/>
      <charset val="134"/>
    </font>
    <font>
      <sz val="20"/>
      <color theme="1"/>
      <name val="Calibri"/>
      <family val="2"/>
      <scheme val="minor"/>
    </font>
    <font>
      <b/>
      <i/>
      <sz val="24"/>
      <color rgb="FF008000"/>
      <name val="DM Sans 14pt"/>
    </font>
    <font>
      <b/>
      <sz val="18"/>
      <color theme="1"/>
      <name val="DM Sans 14pt"/>
    </font>
    <font>
      <b/>
      <sz val="18"/>
      <color theme="0"/>
      <name val="DM Sans 14pt"/>
    </font>
    <font>
      <b/>
      <sz val="22"/>
      <color rgb="FFF8F5F1"/>
      <name val="DM Sans 14pt"/>
    </font>
    <font>
      <b/>
      <sz val="22"/>
      <color rgb="FFFFFFFF"/>
      <name val="DM Sans 14pt"/>
    </font>
    <font>
      <b/>
      <sz val="22"/>
      <color theme="9" tint="-0.249977111117893"/>
      <name val="DM Sans 14pt"/>
    </font>
    <font>
      <sz val="22"/>
      <color rgb="FF000000"/>
      <name val="DM Sans 14pt"/>
    </font>
    <font>
      <b/>
      <i/>
      <sz val="26"/>
      <color theme="4" tint="-0.499984740745262"/>
      <name val="DM Sans 14pt"/>
    </font>
    <font>
      <b/>
      <sz val="28"/>
      <color rgb="FF0A2533"/>
      <name val="Google Sans Regular"/>
    </font>
    <font>
      <sz val="22"/>
      <color rgb="FF0A2533"/>
      <name val="Google Sans Regular"/>
    </font>
    <font>
      <b/>
      <i/>
      <sz val="26"/>
      <color rgb="FFFF0000"/>
      <name val="DM Sans 14pt"/>
    </font>
    <font>
      <b/>
      <i/>
      <sz val="24"/>
      <color rgb="FFFF0000"/>
      <name val="DM Sans 14pt"/>
    </font>
    <font>
      <sz val="26"/>
      <color rgb="FFFF0000"/>
      <name val="DM Sans 14pt"/>
    </font>
    <font>
      <b/>
      <sz val="24"/>
      <color rgb="FFFF0000"/>
      <name val="DM Sans 14pt"/>
    </font>
  </fonts>
  <fills count="86">
    <fill>
      <patternFill patternType="none"/>
    </fill>
    <fill>
      <patternFill patternType="gray125"/>
    </fill>
    <fill>
      <patternFill patternType="solid">
        <fgColor rgb="FFF7F5F0"/>
        <bgColor indexed="64"/>
      </patternFill>
    </fill>
    <fill>
      <patternFill patternType="solid">
        <fgColor rgb="FF0A2533"/>
        <bgColor indexed="64"/>
      </patternFill>
    </fill>
    <fill>
      <patternFill patternType="solid">
        <fgColor rgb="FFFFFFFF"/>
        <bgColor indexed="64"/>
      </patternFill>
    </fill>
    <fill>
      <patternFill patternType="solid">
        <fgColor rgb="FFE8F5E9"/>
        <bgColor indexed="64"/>
      </patternFill>
    </fill>
    <fill>
      <patternFill patternType="solid">
        <fgColor rgb="FF2E7D32"/>
        <bgColor indexed="64"/>
      </patternFill>
    </fill>
    <fill>
      <patternFill patternType="solid">
        <fgColor rgb="FFE0F2F1"/>
        <bgColor indexed="64"/>
      </patternFill>
    </fill>
    <fill>
      <patternFill patternType="solid">
        <fgColor rgb="FF008C95"/>
        <bgColor indexed="64"/>
      </patternFill>
    </fill>
    <fill>
      <patternFill patternType="solid">
        <fgColor rgb="FFFFF8E1"/>
        <bgColor indexed="64"/>
      </patternFill>
    </fill>
    <fill>
      <patternFill patternType="solid">
        <fgColor rgb="FFC5A065"/>
        <bgColor indexed="64"/>
      </patternFill>
    </fill>
    <fill>
      <patternFill patternType="solid">
        <fgColor rgb="FFFBE9E7"/>
        <bgColor indexed="64"/>
      </patternFill>
    </fill>
    <fill>
      <patternFill patternType="solid">
        <fgColor rgb="FFD84315"/>
        <bgColor indexed="64"/>
      </patternFill>
    </fill>
    <fill>
      <patternFill patternType="solid">
        <fgColor rgb="FFFFF3E0"/>
        <bgColor indexed="64"/>
      </patternFill>
    </fill>
    <fill>
      <patternFill patternType="solid">
        <fgColor rgb="FFE65100"/>
        <bgColor indexed="64"/>
      </patternFill>
    </fill>
    <fill>
      <patternFill patternType="solid">
        <fgColor rgb="FFFCE4EC"/>
        <bgColor indexed="64"/>
      </patternFill>
    </fill>
    <fill>
      <patternFill patternType="solid">
        <fgColor rgb="FFC62828"/>
        <bgColor indexed="64"/>
      </patternFill>
    </fill>
    <fill>
      <patternFill patternType="solid">
        <fgColor theme="1"/>
        <bgColor indexed="64"/>
      </patternFill>
    </fill>
    <fill>
      <patternFill patternType="solid">
        <fgColor theme="8" tint="-0.499984740745262"/>
        <bgColor indexed="64"/>
      </patternFill>
    </fill>
    <fill>
      <patternFill patternType="solid">
        <fgColor theme="8" tint="0.79992065187536243"/>
        <bgColor indexed="64"/>
      </patternFill>
    </fill>
    <fill>
      <patternFill patternType="solid">
        <fgColor rgb="FFAD9142"/>
        <bgColor indexed="64"/>
      </patternFill>
    </fill>
    <fill>
      <patternFill patternType="solid">
        <fgColor rgb="FFEDE5CF"/>
        <bgColor indexed="64"/>
      </patternFill>
    </fill>
    <fill>
      <patternFill patternType="solid">
        <fgColor theme="5"/>
        <bgColor indexed="64"/>
      </patternFill>
    </fill>
    <fill>
      <patternFill patternType="solid">
        <fgColor theme="5" tint="0.79992065187536243"/>
        <bgColor indexed="64"/>
      </patternFill>
    </fill>
    <fill>
      <patternFill patternType="solid">
        <fgColor theme="6" tint="0.79992065187536243"/>
        <bgColor indexed="64"/>
      </patternFill>
    </fill>
    <fill>
      <patternFill patternType="solid">
        <fgColor theme="6"/>
        <bgColor indexed="64"/>
      </patternFill>
    </fill>
    <fill>
      <patternFill patternType="solid">
        <fgColor theme="0" tint="-0.499984740745262"/>
        <bgColor indexed="64"/>
      </patternFill>
    </fill>
    <fill>
      <patternFill patternType="solid">
        <fgColor theme="3" tint="0.79992065187536243"/>
        <bgColor indexed="64"/>
      </patternFill>
    </fill>
    <fill>
      <patternFill patternType="solid">
        <fgColor theme="9"/>
        <bgColor indexed="64"/>
      </patternFill>
    </fill>
    <fill>
      <patternFill patternType="solid">
        <fgColor theme="9" tint="0.79992065187536243"/>
        <bgColor indexed="64"/>
      </patternFill>
    </fill>
    <fill>
      <patternFill patternType="solid">
        <fgColor rgb="FFCFBB83"/>
        <bgColor indexed="64"/>
      </patternFill>
    </fill>
    <fill>
      <patternFill patternType="solid">
        <fgColor rgb="FF0A2540"/>
        <bgColor indexed="64"/>
      </patternFill>
    </fill>
    <fill>
      <patternFill patternType="solid">
        <fgColor rgb="FF17605A"/>
        <bgColor indexed="64"/>
      </patternFill>
    </fill>
    <fill>
      <patternFill patternType="solid">
        <fgColor rgb="FFF8F5F1"/>
        <bgColor indexed="64"/>
      </patternFill>
    </fill>
    <fill>
      <patternFill patternType="solid">
        <fgColor theme="8"/>
        <bgColor indexed="64"/>
      </patternFill>
    </fill>
    <fill>
      <patternFill patternType="solid">
        <fgColor rgb="FF00B050"/>
        <bgColor indexed="64"/>
      </patternFill>
    </fill>
    <fill>
      <patternFill patternType="solid">
        <fgColor rgb="FF92D050"/>
        <bgColor indexed="64"/>
      </patternFill>
    </fill>
    <fill>
      <patternFill patternType="solid">
        <fgColor theme="3" tint="-0.499984740745262"/>
        <bgColor indexed="64"/>
      </patternFill>
    </fill>
    <fill>
      <patternFill patternType="solid">
        <fgColor theme="0" tint="-0.14993743705557422"/>
        <bgColor theme="0" tint="-0.14993743705557422"/>
      </patternFill>
    </fill>
    <fill>
      <patternFill patternType="solid">
        <fgColor rgb="FF92D050"/>
        <bgColor theme="0" tint="-0.14993743705557422"/>
      </patternFill>
    </fill>
    <fill>
      <patternFill patternType="solid">
        <fgColor rgb="FF002340"/>
        <bgColor indexed="64"/>
      </patternFill>
    </fill>
    <fill>
      <patternFill patternType="solid">
        <fgColor theme="0"/>
        <bgColor indexed="64"/>
      </patternFill>
    </fill>
    <fill>
      <patternFill patternType="solid">
        <fgColor theme="1" tint="0.249977111117893"/>
        <bgColor indexed="64"/>
      </patternFill>
    </fill>
    <fill>
      <patternFill patternType="solid">
        <fgColor rgb="FF8B6914"/>
        <bgColor indexed="64"/>
      </patternFill>
    </fill>
    <fill>
      <patternFill patternType="solid">
        <fgColor rgb="FFFCEAE4"/>
        <bgColor indexed="64"/>
      </patternFill>
    </fill>
    <fill>
      <patternFill patternType="solid">
        <fgColor rgb="FFD4583A"/>
        <bgColor indexed="64"/>
      </patternFill>
    </fill>
    <fill>
      <patternFill patternType="solid">
        <fgColor rgb="FFF5EDD9"/>
        <bgColor indexed="64"/>
      </patternFill>
    </fill>
    <fill>
      <patternFill patternType="solid">
        <fgColor rgb="FFD9F0F1"/>
        <bgColor indexed="64"/>
      </patternFill>
    </fill>
    <fill>
      <patternFill patternType="solid">
        <fgColor rgb="FFE0E8ED"/>
        <bgColor indexed="64"/>
      </patternFill>
    </fill>
    <fill>
      <patternFill patternType="solid">
        <fgColor rgb="FF817659"/>
        <bgColor indexed="64"/>
      </patternFill>
    </fill>
    <fill>
      <patternFill patternType="solid">
        <fgColor rgb="FF0D3040"/>
        <bgColor indexed="64"/>
      </patternFill>
    </fill>
    <fill>
      <patternFill patternType="solid">
        <fgColor theme="7"/>
        <bgColor indexed="64"/>
      </patternFill>
    </fill>
    <fill>
      <patternFill patternType="solid">
        <fgColor rgb="FFD0D8DD"/>
        <bgColor indexed="64"/>
      </patternFill>
    </fill>
    <fill>
      <patternFill patternType="solid">
        <fgColor rgb="FF061423"/>
        <bgColor indexed="64"/>
      </patternFill>
    </fill>
    <fill>
      <patternFill patternType="solid">
        <fgColor rgb="FFFAFAF7"/>
        <bgColor indexed="64"/>
      </patternFill>
    </fill>
    <fill>
      <patternFill patternType="solid">
        <fgColor rgb="FFFBF7EE"/>
        <bgColor indexed="64"/>
      </patternFill>
    </fill>
    <fill>
      <patternFill patternType="solid">
        <fgColor rgb="FFFAFAFA"/>
        <bgColor rgb="FFFAFAFA"/>
      </patternFill>
    </fill>
    <fill>
      <patternFill patternType="solid">
        <fgColor rgb="FFF7F3EC"/>
        <bgColor indexed="64"/>
      </patternFill>
    </fill>
    <fill>
      <patternFill patternType="solid">
        <fgColor rgb="FF2C2A26"/>
        <bgColor indexed="64"/>
      </patternFill>
    </fill>
    <fill>
      <patternFill patternType="solid">
        <fgColor rgb="FFEADFC8"/>
        <bgColor indexed="64"/>
      </patternFill>
    </fill>
    <fill>
      <patternFill patternType="solid">
        <fgColor rgb="FFE4D8C0"/>
        <bgColor indexed="64"/>
      </patternFill>
    </fill>
    <fill>
      <patternFill patternType="solid">
        <fgColor rgb="FFDED0B3"/>
        <bgColor indexed="64"/>
      </patternFill>
    </fill>
    <fill>
      <patternFill patternType="solid">
        <fgColor rgb="FFD7C8A3"/>
        <bgColor indexed="64"/>
      </patternFill>
    </fill>
    <fill>
      <patternFill patternType="solid">
        <fgColor rgb="FF0F1C2C"/>
        <bgColor indexed="64"/>
      </patternFill>
    </fill>
    <fill>
      <patternFill patternType="solid">
        <fgColor rgb="FFE6EFE2"/>
        <bgColor indexed="64"/>
      </patternFill>
    </fill>
    <fill>
      <patternFill patternType="solid">
        <fgColor rgb="FFE2ECF4"/>
        <bgColor indexed="64"/>
      </patternFill>
    </fill>
    <fill>
      <patternFill patternType="solid">
        <fgColor rgb="FFF3EADA"/>
        <bgColor indexed="64"/>
      </patternFill>
    </fill>
    <fill>
      <patternFill patternType="solid">
        <fgColor rgb="FFECE6F2"/>
        <bgColor indexed="64"/>
      </patternFill>
    </fill>
    <fill>
      <patternFill patternType="solid">
        <fgColor rgb="FFFBE9E2"/>
        <bgColor indexed="64"/>
      </patternFill>
    </fill>
    <fill>
      <patternFill patternType="solid">
        <fgColor theme="4"/>
      </patternFill>
    </fill>
    <fill>
      <patternFill patternType="solid">
        <fgColor theme="4" tint="-0.499984740745262"/>
        <bgColor indexed="64"/>
      </patternFill>
    </fill>
    <fill>
      <patternFill patternType="solid">
        <fgColor rgb="FFFAFAFA"/>
        <bgColor indexed="64"/>
      </patternFill>
    </fill>
    <fill>
      <patternFill patternType="solid">
        <fgColor rgb="FFF4FAEE"/>
        <bgColor indexed="64"/>
      </patternFill>
    </fill>
    <fill>
      <patternFill patternType="solid">
        <fgColor rgb="FFF1F9E8"/>
        <bgColor indexed="64"/>
      </patternFill>
    </fill>
    <fill>
      <patternFill patternType="solid">
        <fgColor rgb="FFE6F7EE"/>
        <bgColor indexed="64"/>
      </patternFill>
    </fill>
    <fill>
      <patternFill patternType="solid">
        <fgColor rgb="FFDFF5E8"/>
        <bgColor indexed="64"/>
      </patternFill>
    </fill>
    <fill>
      <patternFill patternType="solid">
        <fgColor rgb="FFEAF8F7"/>
        <bgColor indexed="64"/>
      </patternFill>
    </fill>
    <fill>
      <patternFill patternType="solid">
        <fgColor rgb="FFE4F6F5"/>
        <bgColor indexed="64"/>
      </patternFill>
    </fill>
    <fill>
      <patternFill patternType="solid">
        <fgColor rgb="FFF4F1E6"/>
        <bgColor indexed="64"/>
      </patternFill>
    </fill>
    <fill>
      <patternFill patternType="solid">
        <fgColor rgb="FFF7F4EC"/>
        <bgColor indexed="64"/>
      </patternFill>
    </fill>
    <fill>
      <patternFill patternType="solid">
        <fgColor rgb="FFFEF8E6"/>
        <bgColor indexed="64"/>
      </patternFill>
    </fill>
    <fill>
      <patternFill patternType="solid">
        <fgColor rgb="FFFDF6DE"/>
        <bgColor indexed="64"/>
      </patternFill>
    </fill>
    <fill>
      <patternFill patternType="solid">
        <fgColor rgb="FFFDEFE4"/>
        <bgColor indexed="64"/>
      </patternFill>
    </fill>
    <fill>
      <patternFill patternType="solid">
        <fgColor rgb="FFFDF2EA"/>
        <bgColor indexed="64"/>
      </patternFill>
    </fill>
    <fill>
      <patternFill patternType="solid">
        <fgColor theme="8" tint="-0.249977111117893"/>
        <bgColor indexed="64"/>
      </patternFill>
    </fill>
    <fill>
      <patternFill patternType="solid">
        <fgColor rgb="FFFDEFE5"/>
        <bgColor indexed="64"/>
      </patternFill>
    </fill>
  </fills>
  <borders count="96">
    <border>
      <left/>
      <right/>
      <top/>
      <bottom/>
      <diagonal/>
    </border>
    <border>
      <left/>
      <right/>
      <top/>
      <bottom style="thick">
        <color rgb="FFC5A065"/>
      </bottom>
      <diagonal/>
    </border>
    <border>
      <left style="thin">
        <color rgb="FFE5E7EB"/>
      </left>
      <right style="thin">
        <color rgb="FFE5E7EB"/>
      </right>
      <top style="thick">
        <color rgb="FF008C95"/>
      </top>
      <bottom/>
      <diagonal/>
    </border>
    <border>
      <left style="thin">
        <color rgb="FFE5E7EB"/>
      </left>
      <right style="thin">
        <color rgb="FFE5E7EB"/>
      </right>
      <top style="thick">
        <color rgb="FF2E7D32"/>
      </top>
      <bottom/>
      <diagonal/>
    </border>
    <border>
      <left style="thin">
        <color rgb="FFE5E7EB"/>
      </left>
      <right style="thin">
        <color rgb="FFE5E7EB"/>
      </right>
      <top style="thick">
        <color rgb="FFC5A065"/>
      </top>
      <bottom/>
      <diagonal/>
    </border>
    <border>
      <left style="thin">
        <color rgb="FFE5E7EB"/>
      </left>
      <right style="thin">
        <color rgb="FFE5E7EB"/>
      </right>
      <top style="thick">
        <color rgb="FFD84315"/>
      </top>
      <bottom/>
      <diagonal/>
    </border>
    <border>
      <left style="thin">
        <color rgb="FFE5E7EB"/>
      </left>
      <right style="thin">
        <color rgb="FFE5E7EB"/>
      </right>
      <top style="thick">
        <color rgb="FFE65100"/>
      </top>
      <bottom/>
      <diagonal/>
    </border>
    <border>
      <left style="thin">
        <color rgb="FFE5E7EB"/>
      </left>
      <right/>
      <top style="thick">
        <color rgb="FF008C95"/>
      </top>
      <bottom/>
      <diagonal/>
    </border>
    <border>
      <left/>
      <right style="thin">
        <color rgb="FFE5E7EB"/>
      </right>
      <top style="thick">
        <color rgb="FF008C95"/>
      </top>
      <bottom/>
      <diagonal/>
    </border>
    <border>
      <left style="thin">
        <color rgb="FFE5E7EB"/>
      </left>
      <right style="thin">
        <color rgb="FFE5E7EB"/>
      </right>
      <top/>
      <bottom/>
      <diagonal/>
    </border>
    <border>
      <left style="thin">
        <color rgb="FFE5E7EB"/>
      </left>
      <right/>
      <top/>
      <bottom/>
      <diagonal/>
    </border>
    <border>
      <left/>
      <right style="thin">
        <color rgb="FFE5E7EB"/>
      </right>
      <top/>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bottom style="thin">
        <color rgb="FFE5E7EB"/>
      </bottom>
      <diagonal/>
    </border>
    <border>
      <left style="thin">
        <color rgb="FFE3C997"/>
      </left>
      <right style="thin">
        <color rgb="FFE3C997"/>
      </right>
      <top style="thin">
        <color rgb="FFC5A065"/>
      </top>
      <bottom style="thin">
        <color theme="0"/>
      </bottom>
      <diagonal/>
    </border>
    <border>
      <left style="thin">
        <color rgb="FFE3C997"/>
      </left>
      <right style="thin">
        <color rgb="FFE3C997"/>
      </right>
      <top style="thin">
        <color theme="0"/>
      </top>
      <bottom style="thin">
        <color theme="0"/>
      </bottom>
      <diagonal/>
    </border>
    <border>
      <left style="thin">
        <color rgb="FFE3C997"/>
      </left>
      <right style="thin">
        <color rgb="FFE3C997"/>
      </right>
      <top style="thin">
        <color theme="0"/>
      </top>
      <bottom style="thick">
        <color rgb="FFC5A065"/>
      </bottom>
      <diagonal/>
    </border>
    <border>
      <left style="thin">
        <color rgb="FFE3C997"/>
      </left>
      <right style="thin">
        <color rgb="FFE3C997"/>
      </right>
      <top style="thick">
        <color rgb="FFC5A065"/>
      </top>
      <bottom style="thin">
        <color rgb="FFC5A065"/>
      </bottom>
      <diagonal/>
    </border>
    <border>
      <left style="thick">
        <color theme="0"/>
      </left>
      <right/>
      <top/>
      <bottom/>
      <diagonal/>
    </border>
    <border>
      <left/>
      <right style="thin">
        <color theme="0" tint="-0.24994659260841701"/>
      </right>
      <top/>
      <bottom/>
      <diagonal/>
    </border>
    <border>
      <left style="thin">
        <color theme="0" tint="-0.24994659260841701"/>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style="medium">
        <color auto="1"/>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slantDashDot">
        <color theme="0"/>
      </left>
      <right style="thin">
        <color theme="1"/>
      </right>
      <top style="slantDashDot">
        <color theme="0"/>
      </top>
      <bottom style="slantDashDot">
        <color theme="0"/>
      </bottom>
      <diagonal/>
    </border>
    <border>
      <left/>
      <right style="thin">
        <color auto="1"/>
      </right>
      <top style="thin">
        <color auto="1"/>
      </top>
      <bottom/>
      <diagonal/>
    </border>
    <border>
      <left/>
      <right/>
      <top style="thick">
        <color rgb="FFC5A065"/>
      </top>
      <bottom/>
      <diagonal/>
    </border>
    <border>
      <left style="thick">
        <color theme="0"/>
      </left>
      <right/>
      <top style="thick">
        <color rgb="FFC5A065"/>
      </top>
      <bottom style="thick">
        <color theme="0"/>
      </bottom>
      <diagonal/>
    </border>
    <border>
      <left/>
      <right/>
      <top style="thick">
        <color rgb="FFC5A065"/>
      </top>
      <bottom style="thick">
        <color theme="0"/>
      </bottom>
      <diagonal/>
    </border>
    <border>
      <left/>
      <right style="thick">
        <color theme="0"/>
      </right>
      <top style="thick">
        <color rgb="FFC5A065"/>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
      <left/>
      <right style="thick">
        <color theme="0"/>
      </right>
      <top style="thick">
        <color theme="0"/>
      </top>
      <bottom style="thick">
        <color theme="0"/>
      </bottom>
      <diagonal/>
    </border>
    <border>
      <left style="thin">
        <color theme="0"/>
      </left>
      <right style="thin">
        <color theme="0"/>
      </right>
      <top style="thin">
        <color theme="0"/>
      </top>
      <bottom style="thin">
        <color theme="0"/>
      </bottom>
      <diagonal/>
    </border>
    <border>
      <left style="thick">
        <color theme="0"/>
      </left>
      <right style="thick">
        <color theme="0"/>
      </right>
      <top style="thick">
        <color theme="0"/>
      </top>
      <bottom style="thick">
        <color theme="0"/>
      </bottom>
      <diagonal/>
    </border>
    <border>
      <left style="thin">
        <color theme="0"/>
      </left>
      <right style="thin">
        <color theme="0"/>
      </right>
      <top/>
      <bottom style="thin">
        <color theme="0"/>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right style="medium">
        <color theme="0"/>
      </right>
      <top style="medium">
        <color theme="0"/>
      </top>
      <bottom style="medium">
        <color theme="0"/>
      </bottom>
      <diagonal/>
    </border>
    <border>
      <left/>
      <right/>
      <top style="thin">
        <color rgb="FFE5E7EB"/>
      </top>
      <bottom/>
      <diagonal/>
    </border>
    <border>
      <left style="thin">
        <color rgb="FFE5E7EB"/>
      </left>
      <right/>
      <top style="thin">
        <color rgb="FFE5E7EB"/>
      </top>
      <bottom/>
      <diagonal/>
    </border>
    <border>
      <left/>
      <right style="thin">
        <color rgb="FFE5E7EB"/>
      </right>
      <top style="thin">
        <color rgb="FFE5E7EB"/>
      </top>
      <bottom/>
      <diagonal/>
    </border>
    <border>
      <left/>
      <right/>
      <top/>
      <bottom style="thin">
        <color rgb="FFE5E7EB"/>
      </bottom>
      <diagonal/>
    </border>
    <border>
      <left style="thin">
        <color rgb="FFE5E7EB"/>
      </left>
      <right/>
      <top style="thin">
        <color rgb="FF0A2533"/>
      </top>
      <bottom style="thin">
        <color rgb="FFC5A065"/>
      </bottom>
      <diagonal/>
    </border>
    <border>
      <left/>
      <right/>
      <top style="thin">
        <color rgb="FF0A2533"/>
      </top>
      <bottom style="thin">
        <color rgb="FFC5A065"/>
      </bottom>
      <diagonal/>
    </border>
    <border>
      <left style="thin">
        <color rgb="FFE5E7EB"/>
      </left>
      <right/>
      <top style="thin">
        <color rgb="FFC5A065"/>
      </top>
      <bottom style="thin">
        <color rgb="FFE5E7EB"/>
      </bottom>
      <diagonal/>
    </border>
    <border>
      <left/>
      <right/>
      <top style="thin">
        <color rgb="FFC5A065"/>
      </top>
      <bottom style="thin">
        <color rgb="FFE5E7EB"/>
      </bottom>
      <diagonal/>
    </border>
    <border>
      <left style="thin">
        <color rgb="FFE5E7EB"/>
      </left>
      <right/>
      <top/>
      <bottom style="thin">
        <color rgb="FF0A2533"/>
      </bottom>
      <diagonal/>
    </border>
    <border>
      <left/>
      <right/>
      <top/>
      <bottom style="thin">
        <color rgb="FF0A2533"/>
      </bottom>
      <diagonal/>
    </border>
    <border>
      <left/>
      <right/>
      <top style="thin">
        <color rgb="FF1E2B3B"/>
      </top>
      <bottom/>
      <diagonal/>
    </border>
    <border>
      <left/>
      <right/>
      <top style="hair">
        <color rgb="FF132030"/>
      </top>
      <bottom/>
      <diagonal/>
    </border>
    <border>
      <left/>
      <right/>
      <top style="thin">
        <color rgb="FFD9C9A3"/>
      </top>
      <bottom style="hair">
        <color rgb="FF132030"/>
      </bottom>
      <diagonal/>
    </border>
    <border>
      <left/>
      <right/>
      <top/>
      <bottom style="medium">
        <color rgb="FFD9C9A3"/>
      </bottom>
      <diagonal/>
    </border>
    <border>
      <left/>
      <right/>
      <top/>
      <bottom style="thin">
        <color rgb="FFC5A065"/>
      </bottom>
      <diagonal/>
    </border>
    <border>
      <left/>
      <right/>
      <top/>
      <bottom style="thin">
        <color rgb="FFE8DEC8"/>
      </bottom>
      <diagonal/>
    </border>
    <border>
      <left/>
      <right/>
      <top/>
      <bottom style="hair">
        <color rgb="FF4E4639"/>
      </bottom>
      <diagonal/>
    </border>
    <border>
      <left style="thin">
        <color rgb="FF1E2B3B"/>
      </left>
      <right/>
      <top style="hair">
        <color rgb="FF4E4639"/>
      </top>
      <bottom/>
      <diagonal/>
    </border>
    <border>
      <left style="thin">
        <color rgb="FF1E2B3B"/>
      </left>
      <right/>
      <top/>
      <bottom/>
      <diagonal/>
    </border>
    <border>
      <left/>
      <right style="thin">
        <color rgb="FF1E2B3B"/>
      </right>
      <top/>
      <bottom style="thin">
        <color rgb="FFE8DEC8"/>
      </bottom>
      <diagonal/>
    </border>
    <border>
      <left style="thin">
        <color rgb="FF1E2B3B"/>
      </left>
      <right/>
      <top/>
      <bottom style="hair">
        <color rgb="FF4E4639"/>
      </bottom>
      <diagonal/>
    </border>
    <border>
      <left/>
      <right/>
      <top style="hair">
        <color rgb="FF4E4639"/>
      </top>
      <bottom style="thin">
        <color rgb="FFE8DEC8"/>
      </bottom>
      <diagonal/>
    </border>
    <border>
      <left/>
      <right style="thin">
        <color rgb="FF1E2B3B"/>
      </right>
      <top style="hair">
        <color rgb="FF4E4639"/>
      </top>
      <bottom style="thin">
        <color rgb="FFE8DEC8"/>
      </bottom>
      <diagonal/>
    </border>
    <border>
      <left/>
      <right/>
      <top style="hair">
        <color rgb="FF4E4639"/>
      </top>
      <bottom/>
      <diagonal/>
    </border>
    <border>
      <left/>
      <right/>
      <top style="thin">
        <color rgb="FF4E4639"/>
      </top>
      <bottom/>
      <diagonal/>
    </border>
    <border>
      <left/>
      <right/>
      <top style="thin">
        <color rgb="FFD9C9A3"/>
      </top>
      <bottom/>
      <diagonal/>
    </border>
    <border>
      <left/>
      <right style="thin">
        <color rgb="FF1E2B3B"/>
      </right>
      <top style="thin">
        <color rgb="FFD9C9A3"/>
      </top>
      <bottom/>
      <diagonal/>
    </border>
    <border>
      <left/>
      <right/>
      <top style="hair">
        <color rgb="FF132030"/>
      </top>
      <bottom style="hair">
        <color rgb="FF132030"/>
      </bottom>
      <diagonal/>
    </border>
    <border>
      <left/>
      <right/>
      <top/>
      <bottom style="hair">
        <color rgb="FF132030"/>
      </bottom>
      <diagonal/>
    </border>
    <border>
      <left/>
      <right/>
      <top style="medium">
        <color rgb="FFD9C9A3"/>
      </top>
      <bottom style="thin">
        <color rgb="FF4E4639"/>
      </bottom>
      <diagonal/>
    </border>
    <border>
      <left/>
      <right/>
      <top style="thin">
        <color theme="0" tint="-0.34998626667073579"/>
      </top>
      <bottom/>
      <diagonal/>
    </border>
    <border>
      <left style="medium">
        <color theme="0"/>
      </left>
      <right style="thin">
        <color theme="0" tint="-0.24994659260841701"/>
      </right>
      <top style="medium">
        <color theme="0"/>
      </top>
      <bottom style="medium">
        <color theme="0"/>
      </bottom>
      <diagonal/>
    </border>
    <border>
      <left style="thin">
        <color theme="0" tint="-0.24994659260841701"/>
      </left>
      <right style="thin">
        <color theme="0" tint="-0.24994659260841701"/>
      </right>
      <top style="medium">
        <color theme="0"/>
      </top>
      <bottom style="thick">
        <color rgb="FFC5A065"/>
      </bottom>
      <diagonal/>
    </border>
    <border>
      <left style="thin">
        <color theme="0" tint="-0.24994659260841701"/>
      </left>
      <right style="thin">
        <color theme="0" tint="-0.24994659260841701"/>
      </right>
      <top style="medium">
        <color theme="0"/>
      </top>
      <bottom/>
      <diagonal/>
    </border>
    <border>
      <left style="thin">
        <color theme="0" tint="-0.24994659260841701"/>
      </left>
      <right style="thin">
        <color theme="0" tint="-0.24994659260841701"/>
      </right>
      <top style="medium">
        <color theme="0"/>
      </top>
      <bottom style="medium">
        <color theme="0"/>
      </bottom>
      <diagonal/>
    </border>
    <border>
      <left style="thin">
        <color theme="0" tint="-0.24994659260841701"/>
      </left>
      <right style="medium">
        <color theme="0"/>
      </right>
      <top style="medium">
        <color theme="0"/>
      </top>
      <bottom style="medium">
        <color theme="0"/>
      </bottom>
      <diagonal/>
    </border>
    <border>
      <left style="medium">
        <color theme="0"/>
      </left>
      <right style="thin">
        <color theme="0" tint="-0.24994659260841701"/>
      </right>
      <top/>
      <bottom style="medium">
        <color theme="0"/>
      </bottom>
      <diagonal/>
    </border>
    <border>
      <left style="thin">
        <color theme="0" tint="-0.24994659260841701"/>
      </left>
      <right style="thin">
        <color theme="0" tint="-0.24994659260841701"/>
      </right>
      <top/>
      <bottom style="thick">
        <color rgb="FFC5A065"/>
      </bottom>
      <diagonal/>
    </border>
    <border>
      <left style="thin">
        <color theme="0" tint="-0.24994659260841701"/>
      </left>
      <right style="thin">
        <color theme="0" tint="-0.24994659260841701"/>
      </right>
      <top/>
      <bottom style="medium">
        <color theme="0"/>
      </bottom>
      <diagonal/>
    </border>
    <border>
      <left style="thin">
        <color theme="0" tint="-0.24994659260841701"/>
      </left>
      <right style="medium">
        <color theme="0"/>
      </right>
      <top style="medium">
        <color theme="0"/>
      </top>
      <bottom style="thick">
        <color rgb="FFC5A065"/>
      </bottom>
      <diagonal/>
    </border>
    <border>
      <left style="thin">
        <color theme="0" tint="-0.24994659260841701"/>
      </left>
      <right style="medium">
        <color theme="0"/>
      </right>
      <top/>
      <bottom style="medium">
        <color theme="0"/>
      </bottom>
      <diagonal/>
    </border>
    <border>
      <left style="medium">
        <color theme="0"/>
      </left>
      <right style="thin">
        <color theme="0" tint="-0.24994659260841701"/>
      </right>
      <top style="medium">
        <color theme="0"/>
      </top>
      <bottom/>
      <diagonal/>
    </border>
    <border>
      <left style="thin">
        <color theme="0" tint="-0.24994659260841701"/>
      </left>
      <right style="medium">
        <color theme="0"/>
      </right>
      <top style="medium">
        <color theme="0"/>
      </top>
      <bottom/>
      <diagonal/>
    </border>
    <border>
      <left style="medium">
        <color theme="0"/>
      </left>
      <right style="thin">
        <color theme="0" tint="-0.24994659260841701"/>
      </right>
      <top style="thin">
        <color rgb="FFE5E7EB"/>
      </top>
      <bottom/>
      <diagonal/>
    </border>
    <border>
      <left style="thin">
        <color theme="0" tint="-0.24994659260841701"/>
      </left>
      <right style="thin">
        <color theme="0" tint="-0.24994659260841701"/>
      </right>
      <top style="thin">
        <color rgb="FFE5E7EB"/>
      </top>
      <bottom/>
      <diagonal/>
    </border>
    <border>
      <left style="thin">
        <color theme="0" tint="-0.24994659260841701"/>
      </left>
      <right style="medium">
        <color theme="0"/>
      </right>
      <top style="thin">
        <color rgb="FFE5E7EB"/>
      </top>
      <bottom/>
      <diagonal/>
    </border>
    <border>
      <left style="medium">
        <color theme="0"/>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medium">
        <color theme="0"/>
      </right>
      <top/>
      <bottom/>
      <diagonal/>
    </border>
    <border>
      <left style="medium">
        <color theme="0"/>
      </left>
      <right style="thin">
        <color theme="0" tint="-0.24994659260841701"/>
      </right>
      <top style="thick">
        <color rgb="FFC5A065"/>
      </top>
      <bottom style="thick">
        <color rgb="FFC5A065"/>
      </bottom>
      <diagonal/>
    </border>
    <border>
      <left style="thin">
        <color theme="0" tint="-0.24994659260841701"/>
      </left>
      <right style="thin">
        <color theme="0" tint="-0.24994659260841701"/>
      </right>
      <top style="thick">
        <color rgb="FFC5A065"/>
      </top>
      <bottom style="thick">
        <color rgb="FFC5A065"/>
      </bottom>
      <diagonal/>
    </border>
    <border>
      <left style="thin">
        <color theme="0" tint="-0.24994659260841701"/>
      </left>
      <right style="medium">
        <color theme="0"/>
      </right>
      <top style="thick">
        <color rgb="FFC5A065"/>
      </top>
      <bottom style="thick">
        <color rgb="FFC5A065"/>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499984740745262"/>
      </top>
      <bottom style="thin">
        <color theme="0" tint="-0.34998626667073579"/>
      </bottom>
      <diagonal/>
    </border>
    <border>
      <left style="thin">
        <color theme="0" tint="-0.24994659260841701"/>
      </left>
      <right/>
      <top style="thin">
        <color rgb="FFE5E7EB"/>
      </top>
      <bottom style="thin">
        <color rgb="FFE5E7EB"/>
      </bottom>
      <diagonal/>
    </border>
    <border>
      <left/>
      <right style="thin">
        <color theme="0" tint="-0.24994659260841701"/>
      </right>
      <top style="thin">
        <color rgb="FFE5E7EB"/>
      </top>
      <bottom style="thin">
        <color rgb="FFE5E7EB"/>
      </bottom>
      <diagonal/>
    </border>
  </borders>
  <cellStyleXfs count="21">
    <xf numFmtId="0" fontId="0" fillId="0" borderId="0"/>
    <xf numFmtId="43" fontId="185" fillId="0" borderId="0"/>
    <xf numFmtId="9" fontId="185" fillId="0" borderId="0"/>
    <xf numFmtId="0" fontId="171" fillId="0" borderId="0"/>
    <xf numFmtId="43" fontId="172" fillId="0" borderId="0"/>
    <xf numFmtId="43" fontId="185" fillId="0" borderId="0"/>
    <xf numFmtId="164" fontId="185" fillId="0" borderId="0" applyFont="0" applyFill="0" applyBorder="0" applyAlignment="0" applyProtection="0"/>
    <xf numFmtId="43" fontId="185" fillId="0" borderId="0"/>
    <xf numFmtId="43" fontId="173" fillId="0" borderId="0"/>
    <xf numFmtId="43" fontId="185" fillId="0" borderId="0"/>
    <xf numFmtId="0" fontId="185" fillId="0" borderId="0"/>
    <xf numFmtId="0" fontId="185" fillId="0" borderId="0"/>
    <xf numFmtId="0" fontId="174" fillId="0" borderId="0">
      <alignment horizontal="left" vertical="top" wrapText="1"/>
    </xf>
    <xf numFmtId="0" fontId="175" fillId="0" borderId="0"/>
    <xf numFmtId="0" fontId="185" fillId="0" borderId="0"/>
    <xf numFmtId="0" fontId="185" fillId="0" borderId="0"/>
    <xf numFmtId="0" fontId="174" fillId="0" borderId="0">
      <alignment horizontal="left" vertical="top" wrapText="1"/>
    </xf>
    <xf numFmtId="0" fontId="185" fillId="0" borderId="0"/>
    <xf numFmtId="9" fontId="185" fillId="0" borderId="0"/>
    <xf numFmtId="9" fontId="185" fillId="0" borderId="0"/>
    <xf numFmtId="0" fontId="186" fillId="69" borderId="0" applyNumberFormat="0" applyBorder="0" applyAlignment="0" applyProtection="0"/>
  </cellStyleXfs>
  <cellXfs count="971">
    <xf numFmtId="0" fontId="0" fillId="0" borderId="0" xfId="0"/>
    <xf numFmtId="0" fontId="0" fillId="2" borderId="0" xfId="0" applyFill="1" applyAlignment="1">
      <alignment vertical="center"/>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wrapText="1"/>
    </xf>
    <xf numFmtId="0" fontId="0" fillId="2" borderId="0" xfId="0" applyFill="1" applyAlignment="1">
      <alignment vertical="center" wrapText="1"/>
    </xf>
    <xf numFmtId="0" fontId="0" fillId="2" borderId="0" xfId="0" applyFill="1" applyAlignment="1">
      <alignment horizontal="center" vertical="center" wrapText="1"/>
    </xf>
    <xf numFmtId="0" fontId="2" fillId="3" borderId="0" xfId="0" applyFont="1" applyFill="1" applyAlignment="1">
      <alignment horizontal="left" vertical="center"/>
    </xf>
    <xf numFmtId="0" fontId="0" fillId="3" borderId="0" xfId="0" applyFill="1" applyAlignment="1">
      <alignment vertical="center"/>
    </xf>
    <xf numFmtId="0" fontId="0" fillId="3" borderId="0" xfId="0" applyFill="1" applyAlignment="1">
      <alignment vertical="center" wrapText="1"/>
    </xf>
    <xf numFmtId="0" fontId="0" fillId="3" borderId="0" xfId="0" applyFill="1" applyAlignment="1">
      <alignment horizontal="center" vertical="center" wrapText="1"/>
    </xf>
    <xf numFmtId="0" fontId="3" fillId="3" borderId="0" xfId="0" applyFont="1" applyFill="1" applyAlignment="1">
      <alignment horizontal="left" vertical="center"/>
    </xf>
    <xf numFmtId="165" fontId="4" fillId="3" borderId="0" xfId="0" applyNumberFormat="1" applyFont="1" applyFill="1" applyAlignment="1">
      <alignment horizontal="right" vertical="center"/>
    </xf>
    <xf numFmtId="0" fontId="0" fillId="3" borderId="1" xfId="0" applyFill="1" applyBorder="1" applyAlignment="1">
      <alignment vertical="center"/>
    </xf>
    <xf numFmtId="0" fontId="0" fillId="3" borderId="1" xfId="0" applyFill="1" applyBorder="1" applyAlignment="1">
      <alignment vertical="center" wrapText="1"/>
    </xf>
    <xf numFmtId="0" fontId="0" fillId="3" borderId="1" xfId="0" applyFill="1" applyBorder="1" applyAlignment="1">
      <alignment horizontal="center" vertical="center" wrapText="1"/>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5"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5" fillId="4" borderId="7" xfId="0" applyFont="1" applyFill="1" applyBorder="1" applyAlignment="1">
      <alignment horizontal="center" vertical="center"/>
    </xf>
    <xf numFmtId="0" fontId="0" fillId="4" borderId="8" xfId="0" applyFill="1" applyBorder="1" applyAlignment="1">
      <alignment vertical="center"/>
    </xf>
    <xf numFmtId="0" fontId="6" fillId="4" borderId="9" xfId="0" applyFont="1" applyFill="1" applyBorder="1" applyAlignment="1">
      <alignment horizontal="center" vertical="center"/>
    </xf>
    <xf numFmtId="0" fontId="7" fillId="4" borderId="9" xfId="0" applyFont="1" applyFill="1" applyBorder="1" applyAlignment="1">
      <alignment horizontal="center" vertical="center"/>
    </xf>
    <xf numFmtId="0" fontId="8" fillId="4" borderId="9" xfId="0" applyFont="1" applyFill="1" applyBorder="1" applyAlignment="1">
      <alignment horizontal="center" vertical="center"/>
    </xf>
    <xf numFmtId="0" fontId="9" fillId="4" borderId="9" xfId="0" applyFont="1" applyFill="1" applyBorder="1" applyAlignment="1">
      <alignment horizontal="center" vertical="center" wrapText="1"/>
    </xf>
    <xf numFmtId="0" fontId="10" fillId="4" borderId="9" xfId="0" applyFont="1" applyFill="1" applyBorder="1" applyAlignment="1">
      <alignment horizontal="center" vertical="center" wrapText="1"/>
    </xf>
    <xf numFmtId="3" fontId="11" fillId="4" borderId="10" xfId="0" applyNumberFormat="1" applyFont="1" applyFill="1" applyBorder="1" applyAlignment="1">
      <alignment horizontal="center" vertical="center"/>
    </xf>
    <xf numFmtId="0" fontId="0" fillId="4" borderId="11" xfId="0" applyFill="1" applyBorder="1" applyAlignment="1">
      <alignment vertical="center"/>
    </xf>
    <xf numFmtId="0" fontId="12" fillId="4" borderId="12" xfId="0" applyFont="1" applyFill="1" applyBorder="1" applyAlignment="1">
      <alignment horizontal="center" vertical="center"/>
    </xf>
    <xf numFmtId="0" fontId="12" fillId="4" borderId="12" xfId="0" applyFont="1" applyFill="1" applyBorder="1" applyAlignment="1">
      <alignment horizontal="center" vertical="center" wrapText="1"/>
    </xf>
    <xf numFmtId="0" fontId="12" fillId="4" borderId="13" xfId="0" applyFont="1" applyFill="1" applyBorder="1" applyAlignment="1">
      <alignment horizontal="center" vertical="center"/>
    </xf>
    <xf numFmtId="0" fontId="0" fillId="4" borderId="14" xfId="0" applyFill="1" applyBorder="1" applyAlignment="1">
      <alignment vertical="center"/>
    </xf>
    <xf numFmtId="4" fontId="13" fillId="3" borderId="15" xfId="0" applyNumberFormat="1" applyFont="1" applyFill="1" applyBorder="1" applyAlignment="1">
      <alignment horizontal="center" vertical="center" wrapText="1"/>
    </xf>
    <xf numFmtId="4" fontId="13" fillId="3" borderId="15" xfId="0" applyNumberFormat="1" applyFont="1" applyFill="1" applyBorder="1" applyAlignment="1">
      <alignment horizontal="left" vertical="center" wrapText="1"/>
    </xf>
    <xf numFmtId="4" fontId="13" fillId="3" borderId="15" xfId="0" applyNumberFormat="1" applyFont="1" applyFill="1" applyBorder="1" applyAlignment="1">
      <alignment horizontal="right" vertical="center" wrapText="1"/>
    </xf>
    <xf numFmtId="4" fontId="14" fillId="5" borderId="16" xfId="0" applyNumberFormat="1" applyFont="1" applyFill="1" applyBorder="1" applyAlignment="1">
      <alignment vertical="center"/>
    </xf>
    <xf numFmtId="4" fontId="14" fillId="5" borderId="16" xfId="0" applyNumberFormat="1" applyFont="1" applyFill="1" applyBorder="1" applyAlignment="1">
      <alignment horizontal="left" vertical="center"/>
    </xf>
    <xf numFmtId="4" fontId="15" fillId="5" borderId="16" xfId="0" applyNumberFormat="1" applyFont="1" applyFill="1" applyBorder="1" applyAlignment="1">
      <alignment horizontal="right" vertical="center"/>
    </xf>
    <xf numFmtId="4" fontId="14" fillId="5" borderId="16" xfId="0" applyNumberFormat="1" applyFont="1" applyFill="1" applyBorder="1" applyAlignment="1">
      <alignment vertical="center" wrapText="1"/>
    </xf>
    <xf numFmtId="4" fontId="14" fillId="5" borderId="16" xfId="0" applyNumberFormat="1" applyFont="1" applyFill="1" applyBorder="1" applyAlignment="1">
      <alignment horizontal="center" vertical="center" wrapText="1"/>
    </xf>
    <xf numFmtId="4" fontId="16" fillId="4" borderId="16" xfId="0" applyNumberFormat="1" applyFont="1" applyFill="1" applyBorder="1" applyAlignment="1">
      <alignment horizontal="center" vertical="center"/>
    </xf>
    <xf numFmtId="4" fontId="17" fillId="4" borderId="16" xfId="0" applyNumberFormat="1" applyFont="1" applyFill="1" applyBorder="1" applyAlignment="1">
      <alignment horizontal="left" vertical="center" wrapText="1"/>
    </xf>
    <xf numFmtId="4" fontId="18" fillId="4" borderId="16" xfId="0" applyNumberFormat="1" applyFont="1" applyFill="1" applyBorder="1" applyAlignment="1">
      <alignment horizontal="center" vertical="center"/>
    </xf>
    <xf numFmtId="4" fontId="17" fillId="4" borderId="16" xfId="0" applyNumberFormat="1" applyFont="1" applyFill="1" applyBorder="1" applyAlignment="1">
      <alignment horizontal="center" vertical="center"/>
    </xf>
    <xf numFmtId="4" fontId="17" fillId="4" borderId="16" xfId="0" applyNumberFormat="1" applyFont="1" applyFill="1" applyBorder="1" applyAlignment="1">
      <alignment horizontal="right" vertical="center"/>
    </xf>
    <xf numFmtId="4" fontId="19" fillId="4" borderId="16" xfId="0" applyNumberFormat="1" applyFont="1" applyFill="1" applyBorder="1" applyAlignment="1">
      <alignment horizontal="right" vertical="center"/>
    </xf>
    <xf numFmtId="4" fontId="20" fillId="6" borderId="16" xfId="0" applyNumberFormat="1" applyFont="1" applyFill="1" applyBorder="1" applyAlignment="1">
      <alignment horizontal="center" vertical="center" wrapText="1"/>
    </xf>
    <xf numFmtId="4" fontId="21" fillId="4" borderId="16" xfId="0" applyNumberFormat="1" applyFont="1" applyFill="1" applyBorder="1" applyAlignment="1">
      <alignment horizontal="center" vertical="center" wrapText="1"/>
    </xf>
    <xf numFmtId="4" fontId="18" fillId="4" borderId="16" xfId="0" applyNumberFormat="1" applyFont="1" applyFill="1" applyBorder="1" applyAlignment="1">
      <alignment horizontal="left" vertical="center" wrapText="1"/>
    </xf>
    <xf numFmtId="4" fontId="16" fillId="2" borderId="16" xfId="0" applyNumberFormat="1" applyFont="1" applyFill="1" applyBorder="1" applyAlignment="1">
      <alignment horizontal="center" vertical="center"/>
    </xf>
    <xf numFmtId="4" fontId="17" fillId="2" borderId="16" xfId="0" applyNumberFormat="1" applyFont="1" applyFill="1" applyBorder="1" applyAlignment="1">
      <alignment horizontal="left" vertical="center" wrapText="1"/>
    </xf>
    <xf numFmtId="4" fontId="18" fillId="2" borderId="16" xfId="0" applyNumberFormat="1" applyFont="1" applyFill="1" applyBorder="1" applyAlignment="1">
      <alignment horizontal="center" vertical="center"/>
    </xf>
    <xf numFmtId="4" fontId="17" fillId="2" borderId="16" xfId="0" applyNumberFormat="1" applyFont="1" applyFill="1" applyBorder="1" applyAlignment="1">
      <alignment horizontal="center" vertical="center"/>
    </xf>
    <xf numFmtId="4" fontId="17" fillId="2" borderId="16" xfId="0" applyNumberFormat="1" applyFont="1" applyFill="1" applyBorder="1" applyAlignment="1">
      <alignment horizontal="right" vertical="center"/>
    </xf>
    <xf numFmtId="4" fontId="19" fillId="2" borderId="16" xfId="0" applyNumberFormat="1" applyFont="1" applyFill="1" applyBorder="1" applyAlignment="1">
      <alignment horizontal="right" vertical="center"/>
    </xf>
    <xf numFmtId="4" fontId="21" fillId="2" borderId="16" xfId="0" applyNumberFormat="1" applyFont="1" applyFill="1" applyBorder="1" applyAlignment="1">
      <alignment horizontal="center" vertical="center" wrapText="1"/>
    </xf>
    <xf numFmtId="4" fontId="18" fillId="2" borderId="16" xfId="0" applyNumberFormat="1" applyFont="1" applyFill="1" applyBorder="1" applyAlignment="1">
      <alignment horizontal="left" vertical="center" wrapText="1"/>
    </xf>
    <xf numFmtId="4" fontId="22" fillId="7" borderId="16" xfId="0" applyNumberFormat="1" applyFont="1" applyFill="1" applyBorder="1" applyAlignment="1">
      <alignment vertical="center"/>
    </xf>
    <xf numFmtId="4" fontId="22" fillId="7" borderId="16" xfId="0" applyNumberFormat="1" applyFont="1" applyFill="1" applyBorder="1" applyAlignment="1">
      <alignment horizontal="left" vertical="center"/>
    </xf>
    <xf numFmtId="4" fontId="23" fillId="7" borderId="16" xfId="0" applyNumberFormat="1" applyFont="1" applyFill="1" applyBorder="1" applyAlignment="1">
      <alignment horizontal="right" vertical="center"/>
    </xf>
    <xf numFmtId="4" fontId="22" fillId="7" borderId="16" xfId="0" applyNumberFormat="1" applyFont="1" applyFill="1" applyBorder="1" applyAlignment="1">
      <alignment vertical="center" wrapText="1"/>
    </xf>
    <xf numFmtId="4" fontId="22" fillId="7" borderId="16" xfId="0" applyNumberFormat="1" applyFont="1" applyFill="1" applyBorder="1" applyAlignment="1">
      <alignment horizontal="center" vertical="center" wrapText="1"/>
    </xf>
    <xf numFmtId="4" fontId="20" fillId="8" borderId="16" xfId="0" applyNumberFormat="1" applyFont="1" applyFill="1" applyBorder="1" applyAlignment="1">
      <alignment horizontal="center" vertical="center" wrapText="1"/>
    </xf>
    <xf numFmtId="4" fontId="24" fillId="9" borderId="16" xfId="0" applyNumberFormat="1" applyFont="1" applyFill="1" applyBorder="1" applyAlignment="1">
      <alignment vertical="center"/>
    </xf>
    <xf numFmtId="4" fontId="24" fillId="9" borderId="16" xfId="0" applyNumberFormat="1" applyFont="1" applyFill="1" applyBorder="1" applyAlignment="1">
      <alignment horizontal="left" vertical="center"/>
    </xf>
    <xf numFmtId="4" fontId="25" fillId="9" borderId="16" xfId="0" applyNumberFormat="1" applyFont="1" applyFill="1" applyBorder="1" applyAlignment="1">
      <alignment horizontal="right" vertical="center"/>
    </xf>
    <xf numFmtId="4" fontId="24" fillId="9" borderId="16" xfId="0" applyNumberFormat="1" applyFont="1" applyFill="1" applyBorder="1" applyAlignment="1">
      <alignment vertical="center" wrapText="1"/>
    </xf>
    <xf numFmtId="4" fontId="24" fillId="9" borderId="16" xfId="0" applyNumberFormat="1" applyFont="1" applyFill="1" applyBorder="1" applyAlignment="1">
      <alignment horizontal="center" vertical="center" wrapText="1"/>
    </xf>
    <xf numFmtId="4" fontId="20" fillId="10" borderId="16" xfId="0" applyNumberFormat="1" applyFont="1" applyFill="1" applyBorder="1" applyAlignment="1">
      <alignment horizontal="center" vertical="center" wrapText="1"/>
    </xf>
    <xf numFmtId="4" fontId="26" fillId="11" borderId="16" xfId="0" applyNumberFormat="1" applyFont="1" applyFill="1" applyBorder="1" applyAlignment="1">
      <alignment vertical="center"/>
    </xf>
    <xf numFmtId="4" fontId="26" fillId="11" borderId="16" xfId="0" applyNumberFormat="1" applyFont="1" applyFill="1" applyBorder="1" applyAlignment="1">
      <alignment horizontal="left" vertical="center"/>
    </xf>
    <xf numFmtId="4" fontId="27" fillId="11" borderId="16" xfId="0" applyNumberFormat="1" applyFont="1" applyFill="1" applyBorder="1" applyAlignment="1">
      <alignment horizontal="right" vertical="center"/>
    </xf>
    <xf numFmtId="4" fontId="26" fillId="11" borderId="16" xfId="0" applyNumberFormat="1" applyFont="1" applyFill="1" applyBorder="1" applyAlignment="1">
      <alignment vertical="center" wrapText="1"/>
    </xf>
    <xf numFmtId="4" fontId="26" fillId="11" borderId="16" xfId="0" applyNumberFormat="1" applyFont="1" applyFill="1" applyBorder="1" applyAlignment="1">
      <alignment horizontal="center" vertical="center" wrapText="1"/>
    </xf>
    <xf numFmtId="4" fontId="20" fillId="12" borderId="16" xfId="0" applyNumberFormat="1" applyFont="1" applyFill="1" applyBorder="1" applyAlignment="1">
      <alignment horizontal="center" vertical="center" wrapText="1"/>
    </xf>
    <xf numFmtId="4" fontId="24" fillId="13" borderId="16" xfId="0" applyNumberFormat="1" applyFont="1" applyFill="1" applyBorder="1" applyAlignment="1">
      <alignment vertical="center"/>
    </xf>
    <xf numFmtId="4" fontId="24" fillId="13" borderId="16" xfId="0" applyNumberFormat="1" applyFont="1" applyFill="1" applyBorder="1" applyAlignment="1">
      <alignment horizontal="left" vertical="center"/>
    </xf>
    <xf numFmtId="4" fontId="25" fillId="13" borderId="16" xfId="0" applyNumberFormat="1" applyFont="1" applyFill="1" applyBorder="1" applyAlignment="1">
      <alignment horizontal="right" vertical="center"/>
    </xf>
    <xf numFmtId="4" fontId="24" fillId="13" borderId="16" xfId="0" applyNumberFormat="1" applyFont="1" applyFill="1" applyBorder="1" applyAlignment="1">
      <alignment vertical="center" wrapText="1"/>
    </xf>
    <xf numFmtId="4" fontId="24" fillId="13" borderId="16" xfId="0" applyNumberFormat="1" applyFont="1" applyFill="1" applyBorder="1" applyAlignment="1">
      <alignment horizontal="center" vertical="center" wrapText="1"/>
    </xf>
    <xf numFmtId="4" fontId="20" fillId="14" borderId="16" xfId="0" applyNumberFormat="1" applyFont="1" applyFill="1" applyBorder="1" applyAlignment="1">
      <alignment horizontal="center" vertical="center" wrapText="1"/>
    </xf>
    <xf numFmtId="4" fontId="28" fillId="15" borderId="16" xfId="0" applyNumberFormat="1" applyFont="1" applyFill="1" applyBorder="1" applyAlignment="1">
      <alignment vertical="center"/>
    </xf>
    <xf numFmtId="4" fontId="28" fillId="15" borderId="16" xfId="0" applyNumberFormat="1" applyFont="1" applyFill="1" applyBorder="1" applyAlignment="1">
      <alignment horizontal="left" vertical="center"/>
    </xf>
    <xf numFmtId="4" fontId="29" fillId="15" borderId="16" xfId="0" applyNumberFormat="1" applyFont="1" applyFill="1" applyBorder="1" applyAlignment="1">
      <alignment horizontal="right" vertical="center"/>
    </xf>
    <xf numFmtId="4" fontId="28" fillId="15" borderId="16" xfId="0" applyNumberFormat="1" applyFont="1" applyFill="1" applyBorder="1" applyAlignment="1">
      <alignment vertical="center" wrapText="1"/>
    </xf>
    <xf numFmtId="4" fontId="28" fillId="15" borderId="16" xfId="0" applyNumberFormat="1" applyFont="1" applyFill="1" applyBorder="1" applyAlignment="1">
      <alignment horizontal="center" vertical="center" wrapText="1"/>
    </xf>
    <xf numFmtId="4" fontId="20" fillId="16" borderId="16" xfId="0" applyNumberFormat="1" applyFont="1" applyFill="1" applyBorder="1" applyAlignment="1">
      <alignment horizontal="center" vertical="center" wrapText="1"/>
    </xf>
    <xf numFmtId="4" fontId="0" fillId="2" borderId="17" xfId="0" applyNumberFormat="1" applyFill="1" applyBorder="1" applyAlignment="1">
      <alignment vertical="center"/>
    </xf>
    <xf numFmtId="4" fontId="0" fillId="2" borderId="17" xfId="0" applyNumberFormat="1" applyFill="1" applyBorder="1" applyAlignment="1">
      <alignment vertical="center" wrapText="1"/>
    </xf>
    <xf numFmtId="4" fontId="0" fillId="2" borderId="17" xfId="0" applyNumberFormat="1" applyFill="1" applyBorder="1" applyAlignment="1">
      <alignment horizontal="center" vertical="center" wrapText="1"/>
    </xf>
    <xf numFmtId="0" fontId="30" fillId="3" borderId="18" xfId="0" applyFont="1" applyFill="1" applyBorder="1" applyAlignment="1">
      <alignment horizontal="right" vertical="center"/>
    </xf>
    <xf numFmtId="0" fontId="0" fillId="3" borderId="18" xfId="0" applyFill="1" applyBorder="1" applyAlignment="1">
      <alignment vertical="center"/>
    </xf>
    <xf numFmtId="3" fontId="31" fillId="3" borderId="18" xfId="0" applyNumberFormat="1" applyFont="1" applyFill="1" applyBorder="1" applyAlignment="1">
      <alignment horizontal="right" vertical="center"/>
    </xf>
    <xf numFmtId="3" fontId="32" fillId="3" borderId="18" xfId="0" applyNumberFormat="1" applyFont="1" applyFill="1" applyBorder="1" applyAlignment="1">
      <alignment horizontal="right" vertical="center"/>
    </xf>
    <xf numFmtId="0" fontId="0" fillId="3" borderId="18" xfId="0" applyFill="1" applyBorder="1" applyAlignment="1">
      <alignment vertical="center" wrapText="1"/>
    </xf>
    <xf numFmtId="0" fontId="0" fillId="3" borderId="18" xfId="0" applyFill="1" applyBorder="1" applyAlignment="1">
      <alignment horizontal="center" vertical="center" wrapText="1"/>
    </xf>
    <xf numFmtId="43" fontId="33" fillId="17" borderId="0" xfId="1" applyFont="1" applyFill="1"/>
    <xf numFmtId="43" fontId="185" fillId="0" borderId="0" xfId="1"/>
    <xf numFmtId="43" fontId="33" fillId="0" borderId="0" xfId="1" applyFont="1"/>
    <xf numFmtId="43" fontId="35" fillId="19" borderId="0" xfId="1" applyFont="1" applyFill="1"/>
    <xf numFmtId="43" fontId="35" fillId="21" borderId="0" xfId="1" applyFont="1" applyFill="1"/>
    <xf numFmtId="43" fontId="37" fillId="21" borderId="0" xfId="1" applyFont="1" applyFill="1" applyAlignment="1">
      <alignment horizontal="center" vertical="center"/>
    </xf>
    <xf numFmtId="0" fontId="35" fillId="23" borderId="0" xfId="0" applyFont="1" applyFill="1"/>
    <xf numFmtId="43" fontId="38" fillId="24" borderId="0" xfId="1" applyFont="1" applyFill="1" applyAlignment="1">
      <alignment horizontal="center" vertical="center"/>
    </xf>
    <xf numFmtId="9" fontId="185" fillId="0" borderId="0" xfId="2"/>
    <xf numFmtId="43" fontId="37" fillId="23" borderId="0" xfId="1" applyFont="1" applyFill="1"/>
    <xf numFmtId="43" fontId="35" fillId="23" borderId="0" xfId="1" applyFont="1" applyFill="1"/>
    <xf numFmtId="9" fontId="35" fillId="23" borderId="0" xfId="1" applyNumberFormat="1" applyFont="1" applyFill="1"/>
    <xf numFmtId="43" fontId="39" fillId="24" borderId="0" xfId="1" applyFont="1" applyFill="1"/>
    <xf numFmtId="9" fontId="35" fillId="23" borderId="0" xfId="2" applyFont="1" applyFill="1"/>
    <xf numFmtId="0" fontId="35" fillId="0" borderId="0" xfId="0" applyFont="1"/>
    <xf numFmtId="43" fontId="35" fillId="24" borderId="0" xfId="1" applyFont="1" applyFill="1"/>
    <xf numFmtId="9" fontId="35" fillId="24" borderId="0" xfId="2" applyFont="1" applyFill="1"/>
    <xf numFmtId="43" fontId="35" fillId="27" borderId="0" xfId="1" applyFont="1" applyFill="1"/>
    <xf numFmtId="9" fontId="35" fillId="27" borderId="0" xfId="2" applyFont="1" applyFill="1"/>
    <xf numFmtId="0" fontId="35" fillId="29" borderId="0" xfId="0" applyFont="1" applyFill="1"/>
    <xf numFmtId="43" fontId="35" fillId="29" borderId="0" xfId="1" applyFont="1" applyFill="1"/>
    <xf numFmtId="0" fontId="41" fillId="22" borderId="21" xfId="0" applyFont="1" applyFill="1" applyBorder="1" applyAlignment="1">
      <alignment vertical="center"/>
    </xf>
    <xf numFmtId="0" fontId="42" fillId="22" borderId="0" xfId="0" applyFont="1" applyFill="1" applyAlignment="1">
      <alignment horizontal="left" vertical="center"/>
    </xf>
    <xf numFmtId="43" fontId="42" fillId="22" borderId="0" xfId="1" applyFont="1" applyFill="1" applyAlignment="1">
      <alignment horizontal="left" vertical="center"/>
    </xf>
    <xf numFmtId="0" fontId="42" fillId="22" borderId="22" xfId="1" applyNumberFormat="1" applyFont="1" applyFill="1" applyBorder="1" applyAlignment="1">
      <alignment horizontal="center" vertical="center"/>
    </xf>
    <xf numFmtId="0" fontId="41" fillId="20" borderId="21" xfId="0" applyFont="1" applyFill="1" applyBorder="1" applyAlignment="1">
      <alignment vertical="center"/>
    </xf>
    <xf numFmtId="0" fontId="42" fillId="20" borderId="0" xfId="0" applyFont="1" applyFill="1" applyAlignment="1">
      <alignment horizontal="left" vertical="center"/>
    </xf>
    <xf numFmtId="43" fontId="42" fillId="20" borderId="0" xfId="1" applyFont="1" applyFill="1" applyAlignment="1">
      <alignment horizontal="left" vertical="center"/>
    </xf>
    <xf numFmtId="0" fontId="42" fillId="20" borderId="22" xfId="1" applyNumberFormat="1" applyFont="1" applyFill="1" applyBorder="1" applyAlignment="1">
      <alignment horizontal="center" vertical="center"/>
    </xf>
    <xf numFmtId="0" fontId="41" fillId="25" borderId="21" xfId="0" applyFont="1" applyFill="1" applyBorder="1" applyAlignment="1">
      <alignment vertical="center"/>
    </xf>
    <xf numFmtId="0" fontId="42" fillId="25" borderId="0" xfId="0" applyFont="1" applyFill="1" applyAlignment="1">
      <alignment horizontal="left" vertical="center"/>
    </xf>
    <xf numFmtId="43" fontId="42" fillId="25" borderId="0" xfId="1" applyFont="1" applyFill="1" applyAlignment="1">
      <alignment horizontal="left" vertical="center"/>
    </xf>
    <xf numFmtId="0" fontId="42" fillId="25" borderId="22" xfId="1" applyNumberFormat="1" applyFont="1" applyFill="1" applyBorder="1" applyAlignment="1">
      <alignment horizontal="center" vertical="center"/>
    </xf>
    <xf numFmtId="0" fontId="41" fillId="34" borderId="21" xfId="0" applyFont="1" applyFill="1" applyBorder="1" applyAlignment="1">
      <alignment vertical="center"/>
    </xf>
    <xf numFmtId="0" fontId="42" fillId="34" borderId="0" xfId="0" applyFont="1" applyFill="1" applyAlignment="1">
      <alignment horizontal="left" vertical="center"/>
    </xf>
    <xf numFmtId="43" fontId="42" fillId="34" borderId="0" xfId="1" applyFont="1" applyFill="1" applyAlignment="1">
      <alignment horizontal="left" vertical="center"/>
    </xf>
    <xf numFmtId="0" fontId="42" fillId="34" borderId="22" xfId="1" applyNumberFormat="1" applyFont="1" applyFill="1" applyBorder="1" applyAlignment="1">
      <alignment horizontal="center" vertical="center"/>
    </xf>
    <xf numFmtId="0" fontId="41" fillId="35" borderId="21" xfId="0" applyFont="1" applyFill="1" applyBorder="1" applyAlignment="1">
      <alignment vertical="center"/>
    </xf>
    <xf numFmtId="0" fontId="42" fillId="35" borderId="0" xfId="0" applyFont="1" applyFill="1" applyAlignment="1">
      <alignment horizontal="left" vertical="center"/>
    </xf>
    <xf numFmtId="43" fontId="42" fillId="35" borderId="0" xfId="1" applyFont="1" applyFill="1" applyAlignment="1">
      <alignment horizontal="left" vertical="center"/>
    </xf>
    <xf numFmtId="0" fontId="42" fillId="35" borderId="22" xfId="1" applyNumberFormat="1" applyFont="1" applyFill="1" applyBorder="1" applyAlignment="1">
      <alignment horizontal="center" vertical="center"/>
    </xf>
    <xf numFmtId="0" fontId="42" fillId="36" borderId="0" xfId="0" applyFont="1" applyFill="1" applyAlignment="1">
      <alignment horizontal="left" vertical="center"/>
    </xf>
    <xf numFmtId="43" fontId="42" fillId="36" borderId="0" xfId="1" applyFont="1" applyFill="1" applyAlignment="1">
      <alignment horizontal="left" vertical="center"/>
    </xf>
    <xf numFmtId="0" fontId="42" fillId="36" borderId="22" xfId="1" applyNumberFormat="1" applyFont="1" applyFill="1" applyBorder="1" applyAlignment="1">
      <alignment horizontal="center" vertical="center"/>
    </xf>
    <xf numFmtId="0" fontId="44" fillId="37" borderId="21" xfId="0" applyFont="1" applyFill="1" applyBorder="1" applyAlignment="1">
      <alignment vertical="center"/>
    </xf>
    <xf numFmtId="0" fontId="44" fillId="37" borderId="0" xfId="0" applyFont="1" applyFill="1" applyAlignment="1">
      <alignment horizontal="left" vertical="center"/>
    </xf>
    <xf numFmtId="43" fontId="44" fillId="37" borderId="0" xfId="1" applyFont="1" applyFill="1" applyAlignment="1">
      <alignment horizontal="left" vertical="center"/>
    </xf>
    <xf numFmtId="0" fontId="44" fillId="37" borderId="22" xfId="1" applyNumberFormat="1" applyFont="1" applyFill="1" applyBorder="1" applyAlignment="1">
      <alignment horizontal="center" vertical="center"/>
    </xf>
    <xf numFmtId="0" fontId="46" fillId="40" borderId="0" xfId="10" applyFont="1" applyFill="1"/>
    <xf numFmtId="0" fontId="46" fillId="41" borderId="0" xfId="10" applyFont="1" applyFill="1"/>
    <xf numFmtId="0" fontId="47" fillId="41" borderId="0" xfId="10" applyFont="1" applyFill="1" applyAlignment="1">
      <alignment vertical="top"/>
    </xf>
    <xf numFmtId="0" fontId="48" fillId="41" borderId="0" xfId="10" applyFont="1" applyFill="1" applyAlignment="1">
      <alignment vertical="center"/>
    </xf>
    <xf numFmtId="0" fontId="49" fillId="41" borderId="0" xfId="10" applyFont="1" applyFill="1" applyAlignment="1">
      <alignment vertical="center"/>
    </xf>
    <xf numFmtId="0" fontId="50" fillId="41" borderId="0" xfId="10" applyFont="1" applyFill="1"/>
    <xf numFmtId="0" fontId="51" fillId="0" borderId="0" xfId="10" applyFont="1"/>
    <xf numFmtId="0" fontId="52" fillId="0" borderId="0" xfId="10" applyFont="1"/>
    <xf numFmtId="0" fontId="53" fillId="0" borderId="0" xfId="10" applyFont="1"/>
    <xf numFmtId="0" fontId="53" fillId="41" borderId="0" xfId="10" applyFont="1" applyFill="1"/>
    <xf numFmtId="0" fontId="54" fillId="26" borderId="0" xfId="10" applyFont="1" applyFill="1"/>
    <xf numFmtId="170" fontId="50" fillId="0" borderId="0" xfId="10" applyNumberFormat="1" applyFont="1"/>
    <xf numFmtId="0" fontId="50" fillId="0" borderId="0" xfId="10" applyFont="1"/>
    <xf numFmtId="0" fontId="50" fillId="0" borderId="0" xfId="10" applyFont="1" applyAlignment="1">
      <alignment horizontal="left"/>
    </xf>
    <xf numFmtId="43" fontId="50" fillId="0" borderId="0" xfId="1" applyFont="1"/>
    <xf numFmtId="0" fontId="49" fillId="0" borderId="0" xfId="10" applyFont="1" applyAlignment="1">
      <alignment wrapText="1"/>
    </xf>
    <xf numFmtId="14" fontId="49" fillId="0" borderId="0" xfId="10" applyNumberFormat="1" applyFont="1" applyAlignment="1">
      <alignment wrapText="1"/>
    </xf>
    <xf numFmtId="14" fontId="50" fillId="0" borderId="0" xfId="10" applyNumberFormat="1" applyFont="1"/>
    <xf numFmtId="0" fontId="50" fillId="0" borderId="0" xfId="10" applyFont="1" applyAlignment="1">
      <alignment wrapText="1"/>
    </xf>
    <xf numFmtId="0" fontId="50" fillId="0" borderId="0" xfId="10" applyFont="1" applyAlignment="1">
      <alignment horizontal="center"/>
    </xf>
    <xf numFmtId="0" fontId="55" fillId="3" borderId="0" xfId="10" applyFont="1" applyFill="1" applyAlignment="1">
      <alignment vertical="center"/>
    </xf>
    <xf numFmtId="0" fontId="56" fillId="3" borderId="0" xfId="10" applyFont="1" applyFill="1" applyAlignment="1">
      <alignment horizontal="left"/>
    </xf>
    <xf numFmtId="43" fontId="56" fillId="3" borderId="0" xfId="1" applyFont="1" applyFill="1"/>
    <xf numFmtId="0" fontId="56" fillId="3" borderId="0" xfId="10" applyFont="1" applyFill="1"/>
    <xf numFmtId="0" fontId="57" fillId="3" borderId="0" xfId="10" applyFont="1" applyFill="1" applyAlignment="1">
      <alignment wrapText="1"/>
    </xf>
    <xf numFmtId="14" fontId="57" fillId="3" borderId="0" xfId="10" applyNumberFormat="1" applyFont="1" applyFill="1" applyAlignment="1">
      <alignment wrapText="1"/>
    </xf>
    <xf numFmtId="14" fontId="56" fillId="3" borderId="0" xfId="10" applyNumberFormat="1" applyFont="1" applyFill="1"/>
    <xf numFmtId="0" fontId="56" fillId="3" borderId="0" xfId="10" applyFont="1" applyFill="1" applyAlignment="1">
      <alignment wrapText="1"/>
    </xf>
    <xf numFmtId="0" fontId="58" fillId="40" borderId="26" xfId="10" applyFont="1" applyFill="1" applyBorder="1"/>
    <xf numFmtId="0" fontId="59" fillId="3" borderId="1" xfId="10" applyFont="1" applyFill="1" applyBorder="1" applyAlignment="1">
      <alignment horizontal="center"/>
    </xf>
    <xf numFmtId="0" fontId="60" fillId="3" borderId="1" xfId="10" applyFont="1" applyFill="1" applyBorder="1" applyAlignment="1">
      <alignment horizontal="left"/>
    </xf>
    <xf numFmtId="0" fontId="59" fillId="3" borderId="1" xfId="10" applyFont="1" applyFill="1" applyBorder="1" applyAlignment="1">
      <alignment horizontal="left"/>
    </xf>
    <xf numFmtId="43" fontId="59" fillId="3" borderId="1" xfId="1" applyFont="1" applyFill="1" applyBorder="1" applyAlignment="1">
      <alignment horizontal="center"/>
    </xf>
    <xf numFmtId="171" fontId="59" fillId="3" borderId="1" xfId="10" applyNumberFormat="1" applyFont="1" applyFill="1" applyBorder="1" applyAlignment="1">
      <alignment horizontal="center"/>
    </xf>
    <xf numFmtId="43" fontId="59" fillId="3" borderId="1" xfId="7" applyFont="1" applyFill="1" applyBorder="1" applyAlignment="1">
      <alignment horizontal="center" vertical="center"/>
    </xf>
    <xf numFmtId="43" fontId="59" fillId="3" borderId="1" xfId="7" applyFont="1" applyFill="1" applyBorder="1" applyAlignment="1">
      <alignment horizontal="center"/>
    </xf>
    <xf numFmtId="0" fontId="61" fillId="3" borderId="1" xfId="10" applyFont="1" applyFill="1" applyBorder="1" applyAlignment="1">
      <alignment horizontal="center" wrapText="1"/>
    </xf>
    <xf numFmtId="14" fontId="61" fillId="3" borderId="1" xfId="10" applyNumberFormat="1" applyFont="1" applyFill="1" applyBorder="1" applyAlignment="1">
      <alignment horizontal="center" wrapText="1"/>
    </xf>
    <xf numFmtId="14" fontId="59" fillId="3" borderId="1" xfId="10" applyNumberFormat="1" applyFont="1" applyFill="1" applyBorder="1" applyAlignment="1">
      <alignment horizontal="center"/>
    </xf>
    <xf numFmtId="4" fontId="59" fillId="3" borderId="1" xfId="10" applyNumberFormat="1" applyFont="1" applyFill="1" applyBorder="1" applyAlignment="1">
      <alignment horizontal="center" wrapText="1"/>
    </xf>
    <xf numFmtId="0" fontId="46" fillId="41" borderId="0" xfId="10" applyFont="1" applyFill="1" applyAlignment="1">
      <alignment horizontal="center"/>
    </xf>
    <xf numFmtId="0" fontId="63" fillId="2" borderId="0" xfId="10" applyFont="1" applyFill="1" applyAlignment="1">
      <alignment vertical="center"/>
    </xf>
    <xf numFmtId="0" fontId="64" fillId="3" borderId="28" xfId="10" applyFont="1" applyFill="1" applyBorder="1" applyAlignment="1">
      <alignment horizontal="centerContinuous" vertical="center"/>
    </xf>
    <xf numFmtId="0" fontId="65" fillId="3" borderId="29" xfId="10" applyFont="1" applyFill="1" applyBorder="1" applyAlignment="1">
      <alignment horizontal="centerContinuous" vertical="center"/>
    </xf>
    <xf numFmtId="0" fontId="66" fillId="3" borderId="30" xfId="10" applyFont="1" applyFill="1" applyBorder="1" applyAlignment="1">
      <alignment horizontal="centerContinuous" vertical="center"/>
    </xf>
    <xf numFmtId="0" fontId="47" fillId="2" borderId="0" xfId="10" applyFont="1" applyFill="1" applyAlignment="1">
      <alignment vertical="top"/>
    </xf>
    <xf numFmtId="0" fontId="48" fillId="2" borderId="0" xfId="10" applyFont="1" applyFill="1" applyAlignment="1">
      <alignment vertical="top" wrapText="1"/>
    </xf>
    <xf numFmtId="14" fontId="48" fillId="2" borderId="0" xfId="10" applyNumberFormat="1" applyFont="1" applyFill="1" applyAlignment="1">
      <alignment vertical="top" wrapText="1"/>
    </xf>
    <xf numFmtId="0" fontId="40" fillId="2" borderId="0" xfId="10" applyFont="1" applyFill="1" applyAlignment="1">
      <alignment vertical="top"/>
    </xf>
    <xf numFmtId="0" fontId="67" fillId="4" borderId="0" xfId="10" applyFont="1" applyFill="1" applyAlignment="1">
      <alignment vertical="center"/>
    </xf>
    <xf numFmtId="172" fontId="68" fillId="4" borderId="0" xfId="10" applyNumberFormat="1" applyFont="1" applyFill="1" applyAlignment="1">
      <alignment horizontal="center" vertical="center" wrapText="1"/>
    </xf>
    <xf numFmtId="2" fontId="43" fillId="10" borderId="0" xfId="10" applyNumberFormat="1" applyFont="1" applyFill="1" applyAlignment="1">
      <alignment horizontal="left" vertical="center"/>
    </xf>
    <xf numFmtId="43" fontId="70" fillId="2" borderId="0" xfId="5" applyFont="1" applyFill="1" applyAlignment="1">
      <alignment vertical="center"/>
    </xf>
    <xf numFmtId="15" fontId="71" fillId="4" borderId="31" xfId="10" applyNumberFormat="1" applyFont="1" applyFill="1" applyBorder="1" applyAlignment="1">
      <alignment horizontal="center" vertical="center"/>
    </xf>
    <xf numFmtId="43" fontId="72" fillId="4" borderId="32" xfId="5" applyFont="1" applyFill="1" applyBorder="1" applyAlignment="1">
      <alignment horizontal="center" vertical="center"/>
    </xf>
    <xf numFmtId="9" fontId="71" fillId="4" borderId="33" xfId="2" applyFont="1" applyFill="1" applyBorder="1" applyAlignment="1">
      <alignment horizontal="center" vertical="center"/>
    </xf>
    <xf numFmtId="0" fontId="48" fillId="2" borderId="0" xfId="10" applyFont="1" applyFill="1" applyAlignment="1">
      <alignment vertical="center"/>
    </xf>
    <xf numFmtId="0" fontId="48" fillId="2" borderId="0" xfId="10" applyFont="1" applyFill="1" applyAlignment="1">
      <alignment vertical="center" wrapText="1"/>
    </xf>
    <xf numFmtId="14" fontId="48" fillId="2" borderId="0" xfId="10" applyNumberFormat="1" applyFont="1" applyFill="1" applyAlignment="1">
      <alignment vertical="center" wrapText="1"/>
    </xf>
    <xf numFmtId="15" fontId="67" fillId="2" borderId="0" xfId="10" applyNumberFormat="1" applyFont="1" applyFill="1" applyAlignment="1">
      <alignment vertical="center"/>
    </xf>
    <xf numFmtId="15" fontId="68" fillId="2" borderId="0" xfId="10" applyNumberFormat="1" applyFont="1" applyFill="1" applyAlignment="1">
      <alignment horizontal="center" vertical="center" wrapText="1"/>
    </xf>
    <xf numFmtId="2" fontId="43" fillId="43" borderId="0" xfId="10" applyNumberFormat="1" applyFont="1" applyFill="1" applyAlignment="1">
      <alignment horizontal="left" vertical="center"/>
    </xf>
    <xf numFmtId="0" fontId="73" fillId="8" borderId="31" xfId="10" applyFont="1" applyFill="1" applyBorder="1" applyAlignment="1">
      <alignment horizontal="center" vertical="center"/>
    </xf>
    <xf numFmtId="43" fontId="73" fillId="8" borderId="32" xfId="5" applyFont="1" applyFill="1" applyBorder="1" applyAlignment="1">
      <alignment horizontal="center" vertical="center"/>
    </xf>
    <xf numFmtId="10" fontId="74" fillId="0" borderId="33" xfId="18" applyNumberFormat="1" applyFont="1" applyBorder="1" applyAlignment="1">
      <alignment horizontal="center" vertical="center"/>
    </xf>
    <xf numFmtId="49" fontId="67" fillId="4" borderId="0" xfId="10" applyNumberFormat="1" applyFont="1" applyFill="1" applyAlignment="1">
      <alignment vertical="center"/>
    </xf>
    <xf numFmtId="10" fontId="70" fillId="2" borderId="0" xfId="18" applyNumberFormat="1" applyFont="1" applyFill="1" applyAlignment="1">
      <alignment vertical="center"/>
    </xf>
    <xf numFmtId="15" fontId="75" fillId="44" borderId="31" xfId="10" applyNumberFormat="1" applyFont="1" applyFill="1" applyBorder="1" applyAlignment="1">
      <alignment horizontal="center" vertical="center"/>
    </xf>
    <xf numFmtId="43" fontId="75" fillId="44" borderId="32" xfId="5" applyFont="1" applyFill="1" applyBorder="1" applyAlignment="1">
      <alignment horizontal="center" vertical="center"/>
    </xf>
    <xf numFmtId="10" fontId="75" fillId="44" borderId="33" xfId="18" applyNumberFormat="1" applyFont="1" applyFill="1" applyBorder="1" applyAlignment="1">
      <alignment horizontal="center" vertical="center"/>
    </xf>
    <xf numFmtId="15" fontId="48" fillId="2" borderId="0" xfId="10" applyNumberFormat="1" applyFont="1" applyFill="1" applyAlignment="1">
      <alignment vertical="center"/>
    </xf>
    <xf numFmtId="15" fontId="48" fillId="41" borderId="0" xfId="10" applyNumberFormat="1" applyFont="1" applyFill="1" applyAlignment="1">
      <alignment vertical="center"/>
    </xf>
    <xf numFmtId="49" fontId="70" fillId="2" borderId="0" xfId="10" applyNumberFormat="1" applyFont="1" applyFill="1" applyAlignment="1">
      <alignment vertical="center"/>
    </xf>
    <xf numFmtId="49" fontId="70" fillId="2" borderId="0" xfId="10" applyNumberFormat="1" applyFont="1" applyFill="1" applyAlignment="1">
      <alignment horizontal="left" vertical="center" wrapText="1"/>
    </xf>
    <xf numFmtId="2" fontId="76" fillId="45" borderId="34" xfId="10" applyNumberFormat="1" applyFont="1" applyFill="1" applyBorder="1" applyAlignment="1">
      <alignment horizontal="left" vertical="center"/>
    </xf>
    <xf numFmtId="10" fontId="77" fillId="44" borderId="34" xfId="18" applyNumberFormat="1" applyFont="1" applyFill="1" applyBorder="1" applyAlignment="1">
      <alignment vertical="center"/>
    </xf>
    <xf numFmtId="172" fontId="67" fillId="4" borderId="31" xfId="10" applyNumberFormat="1" applyFont="1" applyFill="1" applyBorder="1" applyAlignment="1">
      <alignment horizontal="left" vertical="center"/>
    </xf>
    <xf numFmtId="0" fontId="67" fillId="4" borderId="32" xfId="10" applyFont="1" applyFill="1" applyBorder="1" applyAlignment="1">
      <alignment vertical="center"/>
    </xf>
    <xf numFmtId="43" fontId="67" fillId="4" borderId="33" xfId="5" applyFont="1" applyFill="1" applyBorder="1" applyAlignment="1">
      <alignment vertical="center"/>
    </xf>
    <xf numFmtId="2" fontId="76" fillId="10" borderId="34" xfId="10" applyNumberFormat="1" applyFont="1" applyFill="1" applyBorder="1" applyAlignment="1">
      <alignment horizontal="left" vertical="center"/>
    </xf>
    <xf numFmtId="10" fontId="78" fillId="46" borderId="34" xfId="18" applyNumberFormat="1" applyFont="1" applyFill="1" applyBorder="1" applyAlignment="1">
      <alignment vertical="center"/>
    </xf>
    <xf numFmtId="0" fontId="48" fillId="2" borderId="0" xfId="10" applyFont="1" applyFill="1" applyAlignment="1">
      <alignment horizontal="left" vertical="center"/>
    </xf>
    <xf numFmtId="2" fontId="76" fillId="8" borderId="34" xfId="10" applyNumberFormat="1" applyFont="1" applyFill="1" applyBorder="1" applyAlignment="1">
      <alignment horizontal="left" vertical="center"/>
    </xf>
    <xf numFmtId="10" fontId="79" fillId="47" borderId="34" xfId="18" applyNumberFormat="1" applyFont="1" applyFill="1" applyBorder="1" applyAlignment="1">
      <alignment vertical="center"/>
    </xf>
    <xf numFmtId="15" fontId="71" fillId="4" borderId="31" xfId="10" applyNumberFormat="1" applyFont="1" applyFill="1" applyBorder="1" applyAlignment="1">
      <alignment horizontal="center" vertical="center" wrapText="1"/>
    </xf>
    <xf numFmtId="43" fontId="71" fillId="4" borderId="32" xfId="5" applyFont="1" applyFill="1" applyBorder="1" applyAlignment="1">
      <alignment horizontal="center" vertical="center"/>
    </xf>
    <xf numFmtId="10" fontId="71" fillId="4" borderId="33" xfId="18" applyNumberFormat="1" applyFont="1" applyFill="1" applyBorder="1" applyAlignment="1">
      <alignment horizontal="center" vertical="center" wrapText="1"/>
    </xf>
    <xf numFmtId="49" fontId="70" fillId="2" borderId="0" xfId="10" applyNumberFormat="1" applyFont="1" applyFill="1" applyAlignment="1">
      <alignment horizontal="left" vertical="center"/>
    </xf>
    <xf numFmtId="2" fontId="76" fillId="3" borderId="34" xfId="10" applyNumberFormat="1" applyFont="1" applyFill="1" applyBorder="1" applyAlignment="1">
      <alignment horizontal="left" vertical="center" wrapText="1"/>
    </xf>
    <xf numFmtId="10" fontId="80" fillId="48" borderId="34" xfId="18" applyNumberFormat="1" applyFont="1" applyFill="1" applyBorder="1" applyAlignment="1">
      <alignment vertical="center"/>
    </xf>
    <xf numFmtId="0" fontId="73" fillId="10" borderId="31" xfId="10" applyFont="1" applyFill="1" applyBorder="1" applyAlignment="1">
      <alignment horizontal="center" vertical="center" wrapText="1"/>
    </xf>
    <xf numFmtId="43" fontId="73" fillId="10" borderId="32" xfId="5" applyFont="1" applyFill="1" applyBorder="1" applyAlignment="1">
      <alignment horizontal="center" vertical="center"/>
    </xf>
    <xf numFmtId="0" fontId="70" fillId="2" borderId="0" xfId="10" applyFont="1" applyFill="1" applyAlignment="1">
      <alignment vertical="center"/>
    </xf>
    <xf numFmtId="43" fontId="70" fillId="2" borderId="0" xfId="5" applyFont="1" applyFill="1" applyAlignment="1">
      <alignment vertical="center" wrapText="1"/>
    </xf>
    <xf numFmtId="43" fontId="81" fillId="2" borderId="0" xfId="10" applyNumberFormat="1" applyFont="1" applyFill="1" applyAlignment="1">
      <alignment vertical="center"/>
    </xf>
    <xf numFmtId="0" fontId="81" fillId="2" borderId="0" xfId="10" applyFont="1" applyFill="1" applyAlignment="1">
      <alignment horizontal="left" vertical="center"/>
    </xf>
    <xf numFmtId="0" fontId="49" fillId="2" borderId="0" xfId="10" applyFont="1" applyFill="1" applyAlignment="1">
      <alignment vertical="center"/>
    </xf>
    <xf numFmtId="15" fontId="75" fillId="44" borderId="31" xfId="10" applyNumberFormat="1" applyFont="1" applyFill="1" applyBorder="1" applyAlignment="1">
      <alignment horizontal="center" vertical="center" wrapText="1"/>
    </xf>
    <xf numFmtId="170" fontId="49" fillId="2" borderId="0" xfId="10" applyNumberFormat="1" applyFont="1" applyFill="1" applyAlignment="1">
      <alignment vertical="center"/>
    </xf>
    <xf numFmtId="170" fontId="49" fillId="2" borderId="0" xfId="10" applyNumberFormat="1" applyFont="1" applyFill="1" applyAlignment="1">
      <alignment vertical="center" wrapText="1"/>
    </xf>
    <xf numFmtId="14" fontId="49" fillId="2" borderId="0" xfId="10" applyNumberFormat="1" applyFont="1" applyFill="1" applyAlignment="1">
      <alignment vertical="center" wrapText="1"/>
    </xf>
    <xf numFmtId="14" fontId="49" fillId="2" borderId="0" xfId="10" applyNumberFormat="1" applyFont="1" applyFill="1" applyAlignment="1">
      <alignment vertical="center"/>
    </xf>
    <xf numFmtId="0" fontId="49" fillId="2" borderId="0" xfId="10" applyFont="1" applyFill="1" applyAlignment="1">
      <alignment vertical="center" wrapText="1"/>
    </xf>
    <xf numFmtId="0" fontId="49" fillId="2" borderId="0" xfId="10" applyFont="1" applyFill="1" applyAlignment="1">
      <alignment horizontal="center" vertical="center"/>
    </xf>
    <xf numFmtId="43" fontId="82" fillId="2" borderId="0" xfId="10" applyNumberFormat="1" applyFont="1" applyFill="1"/>
    <xf numFmtId="0" fontId="83" fillId="2" borderId="0" xfId="10" applyFont="1" applyFill="1" applyAlignment="1">
      <alignment horizontal="left"/>
    </xf>
    <xf numFmtId="2" fontId="76" fillId="8" borderId="36" xfId="10" applyNumberFormat="1" applyFont="1" applyFill="1" applyBorder="1" applyAlignment="1">
      <alignment horizontal="left" vertical="center"/>
    </xf>
    <xf numFmtId="43" fontId="76" fillId="8" borderId="36" xfId="1" applyFont="1" applyFill="1" applyBorder="1" applyAlignment="1">
      <alignment vertical="center"/>
    </xf>
    <xf numFmtId="10" fontId="76" fillId="8" borderId="36" xfId="18" applyNumberFormat="1" applyFont="1" applyFill="1" applyBorder="1" applyAlignment="1">
      <alignment horizontal="center" vertical="center"/>
    </xf>
    <xf numFmtId="170" fontId="84" fillId="2" borderId="0" xfId="10" applyNumberFormat="1" applyFont="1" applyFill="1"/>
    <xf numFmtId="170" fontId="50" fillId="2" borderId="0" xfId="10" applyNumberFormat="1" applyFont="1" applyFill="1"/>
    <xf numFmtId="15" fontId="85" fillId="2" borderId="0" xfId="10" applyNumberFormat="1" applyFont="1" applyFill="1" applyAlignment="1">
      <alignment vertical="center"/>
    </xf>
    <xf numFmtId="43" fontId="85" fillId="2" borderId="0" xfId="5" applyFont="1" applyFill="1" applyAlignment="1">
      <alignment vertical="center"/>
    </xf>
    <xf numFmtId="10" fontId="86" fillId="2" borderId="0" xfId="18" applyNumberFormat="1" applyFont="1" applyFill="1" applyAlignment="1">
      <alignment vertical="center"/>
    </xf>
    <xf numFmtId="170" fontId="49" fillId="2" borderId="0" xfId="10" applyNumberFormat="1" applyFont="1" applyFill="1" applyAlignment="1">
      <alignment wrapText="1"/>
    </xf>
    <xf numFmtId="14" fontId="49" fillId="2" borderId="0" xfId="10" applyNumberFormat="1" applyFont="1" applyFill="1" applyAlignment="1">
      <alignment wrapText="1"/>
    </xf>
    <xf numFmtId="14" fontId="84" fillId="2" borderId="0" xfId="10" applyNumberFormat="1" applyFont="1" applyFill="1"/>
    <xf numFmtId="0" fontId="84" fillId="2" borderId="0" xfId="10" applyFont="1" applyFill="1" applyAlignment="1">
      <alignment wrapText="1"/>
    </xf>
    <xf numFmtId="0" fontId="84" fillId="2" borderId="0" xfId="10" applyFont="1" applyFill="1"/>
    <xf numFmtId="0" fontId="50" fillId="2" borderId="0" xfId="10" applyFont="1" applyFill="1" applyAlignment="1">
      <alignment horizontal="center"/>
    </xf>
    <xf numFmtId="43" fontId="76" fillId="45" borderId="34" xfId="1" applyFont="1" applyFill="1" applyBorder="1" applyAlignment="1">
      <alignment vertical="center"/>
    </xf>
    <xf numFmtId="10" fontId="76" fillId="45" borderId="34" xfId="18" applyNumberFormat="1" applyFont="1" applyFill="1" applyBorder="1" applyAlignment="1">
      <alignment horizontal="center" vertical="center"/>
    </xf>
    <xf numFmtId="43" fontId="83" fillId="2" borderId="0" xfId="10" applyNumberFormat="1" applyFont="1" applyFill="1" applyAlignment="1">
      <alignment horizontal="left"/>
    </xf>
    <xf numFmtId="43" fontId="83" fillId="2" borderId="0" xfId="1" applyFont="1" applyFill="1"/>
    <xf numFmtId="43" fontId="52" fillId="0" borderId="0" xfId="10" applyNumberFormat="1" applyFont="1"/>
    <xf numFmtId="43" fontId="53" fillId="0" borderId="0" xfId="10" applyNumberFormat="1" applyFont="1"/>
    <xf numFmtId="174" fontId="96" fillId="36" borderId="22" xfId="10" applyNumberFormat="1" applyFont="1" applyFill="1" applyBorder="1" applyAlignment="1">
      <alignment horizontal="center" vertical="center" wrapText="1"/>
    </xf>
    <xf numFmtId="173" fontId="53" fillId="0" borderId="22" xfId="10" applyNumberFormat="1" applyFont="1" applyBorder="1" applyAlignment="1">
      <alignment horizontal="center" vertical="center" wrapText="1"/>
    </xf>
    <xf numFmtId="43" fontId="53" fillId="41" borderId="0" xfId="10" applyNumberFormat="1" applyFont="1" applyFill="1"/>
    <xf numFmtId="174" fontId="96" fillId="0" borderId="22" xfId="10" applyNumberFormat="1" applyFont="1" applyBorder="1" applyAlignment="1">
      <alignment horizontal="center" vertical="center" wrapText="1"/>
    </xf>
    <xf numFmtId="0" fontId="53" fillId="0" borderId="0" xfId="10" applyFont="1" applyAlignment="1">
      <alignment wrapText="1"/>
    </xf>
    <xf numFmtId="0" fontId="101" fillId="2" borderId="0" xfId="10" applyFont="1" applyFill="1"/>
    <xf numFmtId="0" fontId="101" fillId="2" borderId="0" xfId="10" applyFont="1" applyFill="1" applyAlignment="1">
      <alignment horizontal="left"/>
    </xf>
    <xf numFmtId="43" fontId="101" fillId="2" borderId="0" xfId="1" applyFont="1" applyFill="1"/>
    <xf numFmtId="170" fontId="101" fillId="2" borderId="0" xfId="10" applyNumberFormat="1" applyFont="1" applyFill="1"/>
    <xf numFmtId="0" fontId="102" fillId="2" borderId="0" xfId="10" applyFont="1" applyFill="1" applyAlignment="1">
      <alignment wrapText="1"/>
    </xf>
    <xf numFmtId="14" fontId="102" fillId="2" borderId="0" xfId="10" applyNumberFormat="1" applyFont="1" applyFill="1" applyAlignment="1">
      <alignment wrapText="1"/>
    </xf>
    <xf numFmtId="14" fontId="101" fillId="2" borderId="0" xfId="10" applyNumberFormat="1" applyFont="1" applyFill="1"/>
    <xf numFmtId="0" fontId="101" fillId="2" borderId="0" xfId="10" applyFont="1" applyFill="1" applyAlignment="1">
      <alignment wrapText="1"/>
    </xf>
    <xf numFmtId="0" fontId="101" fillId="2" borderId="0" xfId="10" applyFont="1" applyFill="1" applyAlignment="1">
      <alignment horizontal="center"/>
    </xf>
    <xf numFmtId="0" fontId="50" fillId="2" borderId="0" xfId="10" applyFont="1" applyFill="1"/>
    <xf numFmtId="0" fontId="50" fillId="2" borderId="0" xfId="10" applyFont="1" applyFill="1" applyAlignment="1">
      <alignment horizontal="left"/>
    </xf>
    <xf numFmtId="43" fontId="103" fillId="46" borderId="37" xfId="1" applyFont="1" applyFill="1" applyBorder="1" applyAlignment="1">
      <alignment horizontal="right" vertical="center"/>
    </xf>
    <xf numFmtId="43" fontId="92" fillId="46" borderId="38" xfId="1" applyFont="1" applyFill="1" applyBorder="1" applyAlignment="1">
      <alignment vertical="center"/>
    </xf>
    <xf numFmtId="43" fontId="92" fillId="46" borderId="39" xfId="1" applyFont="1" applyFill="1" applyBorder="1" applyAlignment="1">
      <alignment vertical="center"/>
    </xf>
    <xf numFmtId="43" fontId="92" fillId="46" borderId="37" xfId="1" applyFont="1" applyFill="1" applyBorder="1" applyAlignment="1">
      <alignment vertical="center"/>
    </xf>
    <xf numFmtId="40" fontId="92" fillId="46" borderId="37" xfId="10" applyNumberFormat="1" applyFont="1" applyFill="1" applyBorder="1" applyAlignment="1">
      <alignment vertical="center"/>
    </xf>
    <xf numFmtId="43" fontId="104" fillId="10" borderId="37" xfId="10" applyNumberFormat="1" applyFont="1" applyFill="1" applyBorder="1" applyAlignment="1">
      <alignment vertical="center"/>
    </xf>
    <xf numFmtId="43" fontId="50" fillId="2" borderId="0" xfId="5" applyFont="1" applyFill="1"/>
    <xf numFmtId="0" fontId="49" fillId="2" borderId="0" xfId="10" applyFont="1" applyFill="1" applyAlignment="1">
      <alignment wrapText="1"/>
    </xf>
    <xf numFmtId="14" fontId="50" fillId="2" borderId="0" xfId="10" applyNumberFormat="1" applyFont="1" applyFill="1"/>
    <xf numFmtId="0" fontId="50" fillId="2" borderId="0" xfId="10" applyFont="1" applyFill="1" applyAlignment="1">
      <alignment wrapText="1"/>
    </xf>
    <xf numFmtId="43" fontId="50" fillId="2" borderId="0" xfId="1" applyFont="1" applyFill="1"/>
    <xf numFmtId="43" fontId="50" fillId="2" borderId="0" xfId="10" applyNumberFormat="1" applyFont="1" applyFill="1"/>
    <xf numFmtId="170" fontId="105" fillId="2" borderId="0" xfId="10" applyNumberFormat="1" applyFont="1" applyFill="1"/>
    <xf numFmtId="40" fontId="106" fillId="2" borderId="0" xfId="10" applyNumberFormat="1" applyFont="1" applyFill="1" applyAlignment="1">
      <alignment vertical="center"/>
    </xf>
    <xf numFmtId="43" fontId="106" fillId="2" borderId="0" xfId="1" applyFont="1" applyFill="1" applyAlignment="1">
      <alignment horizontal="center" vertical="center"/>
    </xf>
    <xf numFmtId="175" fontId="107" fillId="2" borderId="0" xfId="10" applyNumberFormat="1" applyFont="1" applyFill="1"/>
    <xf numFmtId="43" fontId="49" fillId="2" borderId="0" xfId="10" applyNumberFormat="1" applyFont="1" applyFill="1" applyAlignment="1">
      <alignment wrapText="1"/>
    </xf>
    <xf numFmtId="43" fontId="50" fillId="2" borderId="0" xfId="5" applyFont="1" applyFill="1" applyAlignment="1">
      <alignment horizontal="center"/>
    </xf>
    <xf numFmtId="4" fontId="50" fillId="2" borderId="0" xfId="10" applyNumberFormat="1" applyFont="1" applyFill="1"/>
    <xf numFmtId="0" fontId="108" fillId="0" borderId="0" xfId="0" applyFont="1" applyAlignment="1">
      <alignment vertical="center"/>
    </xf>
    <xf numFmtId="0" fontId="109" fillId="0" borderId="0" xfId="0" applyFont="1" applyAlignment="1">
      <alignment vertical="center"/>
    </xf>
    <xf numFmtId="0" fontId="110" fillId="3" borderId="0" xfId="0" applyFont="1" applyFill="1" applyAlignment="1">
      <alignment vertical="center"/>
    </xf>
    <xf numFmtId="0" fontId="0" fillId="53" borderId="0" xfId="0" applyFill="1" applyAlignment="1">
      <alignment vertical="center"/>
    </xf>
    <xf numFmtId="165" fontId="111" fillId="3" borderId="0" xfId="0" applyNumberFormat="1" applyFont="1" applyFill="1" applyAlignment="1">
      <alignment horizontal="right" vertical="center"/>
    </xf>
    <xf numFmtId="0" fontId="112" fillId="3" borderId="0" xfId="0" applyFont="1" applyFill="1" applyAlignment="1">
      <alignment horizontal="left" vertical="center"/>
    </xf>
    <xf numFmtId="0" fontId="113" fillId="3" borderId="0" xfId="0" applyFont="1" applyFill="1" applyAlignment="1">
      <alignment horizontal="left" vertical="center"/>
    </xf>
    <xf numFmtId="0" fontId="112" fillId="3" borderId="0" xfId="0" applyFont="1" applyFill="1" applyAlignment="1">
      <alignment horizontal="right" vertical="center"/>
    </xf>
    <xf numFmtId="0" fontId="110" fillId="3" borderId="1" xfId="0" applyFont="1" applyFill="1" applyBorder="1" applyAlignment="1">
      <alignment vertical="center"/>
    </xf>
    <xf numFmtId="10" fontId="0" fillId="0" borderId="0" xfId="0" applyNumberFormat="1" applyAlignment="1">
      <alignment vertical="center"/>
    </xf>
    <xf numFmtId="0" fontId="110" fillId="2" borderId="0" xfId="0" applyFont="1" applyFill="1" applyAlignment="1">
      <alignment vertical="center"/>
    </xf>
    <xf numFmtId="0" fontId="114" fillId="4" borderId="41" xfId="0" applyFont="1" applyFill="1" applyBorder="1" applyAlignment="1">
      <alignment horizontal="center" vertical="center"/>
    </xf>
    <xf numFmtId="0" fontId="115" fillId="4" borderId="40" xfId="0" applyFont="1" applyFill="1" applyBorder="1" applyAlignment="1">
      <alignment horizontal="left" vertical="center"/>
    </xf>
    <xf numFmtId="0" fontId="110" fillId="4" borderId="40" xfId="0" applyFont="1" applyFill="1" applyBorder="1" applyAlignment="1">
      <alignment horizontal="left" vertical="center"/>
    </xf>
    <xf numFmtId="0" fontId="110" fillId="4" borderId="40" xfId="0" applyFont="1" applyFill="1" applyBorder="1" applyAlignment="1">
      <alignment vertical="center"/>
    </xf>
    <xf numFmtId="0" fontId="115" fillId="4" borderId="42" xfId="0" applyFont="1" applyFill="1" applyBorder="1" applyAlignment="1">
      <alignment horizontal="left" vertical="center"/>
    </xf>
    <xf numFmtId="0" fontId="110" fillId="4" borderId="10" xfId="0" applyFont="1" applyFill="1" applyBorder="1" applyAlignment="1">
      <alignment horizontal="center" vertical="center"/>
    </xf>
    <xf numFmtId="0" fontId="110" fillId="4" borderId="0" xfId="0" applyFont="1" applyFill="1" applyAlignment="1">
      <alignment horizontal="left" vertical="center"/>
    </xf>
    <xf numFmtId="0" fontId="110" fillId="4" borderId="0" xfId="0" applyFont="1" applyFill="1" applyAlignment="1">
      <alignment vertical="center"/>
    </xf>
    <xf numFmtId="0" fontId="110" fillId="4" borderId="10" xfId="0" applyFont="1" applyFill="1" applyBorder="1" applyAlignment="1">
      <alignment vertical="center"/>
    </xf>
    <xf numFmtId="0" fontId="110" fillId="4" borderId="11" xfId="0" applyFont="1" applyFill="1" applyBorder="1" applyAlignment="1">
      <alignment vertical="center"/>
    </xf>
    <xf numFmtId="0" fontId="116" fillId="4" borderId="0" xfId="0" applyFont="1" applyFill="1" applyAlignment="1">
      <alignment horizontal="left" vertical="center"/>
    </xf>
    <xf numFmtId="0" fontId="116" fillId="4" borderId="0" xfId="0" applyFont="1" applyFill="1" applyAlignment="1">
      <alignment horizontal="center" vertical="center"/>
    </xf>
    <xf numFmtId="0" fontId="116" fillId="4" borderId="10" xfId="0" applyFont="1" applyFill="1" applyBorder="1" applyAlignment="1">
      <alignment horizontal="left" vertical="center"/>
    </xf>
    <xf numFmtId="0" fontId="110" fillId="4" borderId="11" xfId="0" applyFont="1" applyFill="1" applyBorder="1" applyAlignment="1">
      <alignment horizontal="right" vertical="center"/>
    </xf>
    <xf numFmtId="176" fontId="117" fillId="4" borderId="0" xfId="0" applyNumberFormat="1" applyFont="1" applyFill="1" applyAlignment="1">
      <alignment horizontal="left" vertical="center"/>
    </xf>
    <xf numFmtId="176" fontId="11" fillId="4" borderId="0" xfId="0" applyNumberFormat="1" applyFont="1" applyFill="1" applyAlignment="1">
      <alignment horizontal="left" vertical="center"/>
    </xf>
    <xf numFmtId="177" fontId="118" fillId="4" borderId="0" xfId="0" applyNumberFormat="1" applyFont="1" applyFill="1" applyAlignment="1">
      <alignment horizontal="right" vertical="center"/>
    </xf>
    <xf numFmtId="176" fontId="119" fillId="4" borderId="10" xfId="0" applyNumberFormat="1" applyFont="1" applyFill="1" applyBorder="1" applyAlignment="1">
      <alignment horizontal="left" vertical="center" wrapText="1"/>
    </xf>
    <xf numFmtId="178" fontId="120" fillId="4" borderId="11" xfId="0" applyNumberFormat="1" applyFont="1" applyFill="1" applyBorder="1" applyAlignment="1">
      <alignment horizontal="right" vertical="center" wrapText="1"/>
    </xf>
    <xf numFmtId="0" fontId="110" fillId="4" borderId="13" xfId="0" applyFont="1" applyFill="1" applyBorder="1" applyAlignment="1">
      <alignment horizontal="center" vertical="center"/>
    </xf>
    <xf numFmtId="0" fontId="116" fillId="4" borderId="43" xfId="0" applyFont="1" applyFill="1" applyBorder="1" applyAlignment="1">
      <alignment horizontal="left" vertical="center"/>
    </xf>
    <xf numFmtId="0" fontId="110" fillId="4" borderId="43" xfId="0" applyFont="1" applyFill="1" applyBorder="1" applyAlignment="1">
      <alignment horizontal="left" vertical="center"/>
    </xf>
    <xf numFmtId="0" fontId="116" fillId="4" borderId="43" xfId="0" applyFont="1" applyFill="1" applyBorder="1" applyAlignment="1">
      <alignment horizontal="right" vertical="center"/>
    </xf>
    <xf numFmtId="0" fontId="110" fillId="4" borderId="43" xfId="0" applyFont="1" applyFill="1" applyBorder="1" applyAlignment="1">
      <alignment vertical="center"/>
    </xf>
    <xf numFmtId="0" fontId="116" fillId="4" borderId="13" xfId="0" applyFont="1" applyFill="1" applyBorder="1" applyAlignment="1">
      <alignment horizontal="left" vertical="center"/>
    </xf>
    <xf numFmtId="0" fontId="110" fillId="4" borderId="14" xfId="0" applyFont="1" applyFill="1" applyBorder="1" applyAlignment="1">
      <alignment horizontal="right" vertical="center"/>
    </xf>
    <xf numFmtId="0" fontId="110" fillId="2" borderId="0" xfId="0" applyFont="1" applyFill="1" applyAlignment="1">
      <alignment horizontal="center" vertical="center"/>
    </xf>
    <xf numFmtId="0" fontId="110" fillId="4" borderId="42" xfId="0" applyFont="1" applyFill="1" applyBorder="1" applyAlignment="1">
      <alignment vertical="center"/>
    </xf>
    <xf numFmtId="0" fontId="116" fillId="4" borderId="11" xfId="0" applyFont="1" applyFill="1" applyBorder="1" applyAlignment="1">
      <alignment horizontal="right" vertical="center"/>
    </xf>
    <xf numFmtId="176" fontId="121" fillId="4" borderId="10" xfId="0" applyNumberFormat="1" applyFont="1" applyFill="1" applyBorder="1" applyAlignment="1">
      <alignment horizontal="left" vertical="center"/>
    </xf>
    <xf numFmtId="10" fontId="121" fillId="4" borderId="11" xfId="0" applyNumberFormat="1" applyFont="1" applyFill="1" applyBorder="1" applyAlignment="1">
      <alignment horizontal="right" vertical="center"/>
    </xf>
    <xf numFmtId="0" fontId="116" fillId="4" borderId="0" xfId="0" applyFont="1" applyFill="1" applyAlignment="1">
      <alignment horizontal="right" vertical="center"/>
    </xf>
    <xf numFmtId="0" fontId="110" fillId="4" borderId="10" xfId="0" applyFont="1" applyFill="1" applyBorder="1" applyAlignment="1">
      <alignment horizontal="left" vertical="center"/>
    </xf>
    <xf numFmtId="176" fontId="122" fillId="4" borderId="0" xfId="0" applyNumberFormat="1" applyFont="1" applyFill="1" applyAlignment="1">
      <alignment horizontal="left" vertical="center"/>
    </xf>
    <xf numFmtId="176" fontId="123" fillId="4" borderId="0" xfId="0" applyNumberFormat="1" applyFont="1" applyFill="1" applyAlignment="1">
      <alignment horizontal="right" vertical="center"/>
    </xf>
    <xf numFmtId="0" fontId="124" fillId="4" borderId="0" xfId="0" applyFont="1" applyFill="1" applyAlignment="1">
      <alignment horizontal="left" vertical="center"/>
    </xf>
    <xf numFmtId="0" fontId="124" fillId="4" borderId="0" xfId="0" applyFont="1" applyFill="1" applyAlignment="1">
      <alignment horizontal="right" vertical="center"/>
    </xf>
    <xf numFmtId="10" fontId="125" fillId="4" borderId="13" xfId="0" applyNumberFormat="1" applyFont="1" applyFill="1" applyBorder="1" applyAlignment="1">
      <alignment horizontal="left" vertical="center"/>
    </xf>
    <xf numFmtId="10" fontId="125" fillId="4" borderId="14" xfId="0" applyNumberFormat="1" applyFont="1" applyFill="1" applyBorder="1" applyAlignment="1">
      <alignment horizontal="right" vertical="center"/>
    </xf>
    <xf numFmtId="0" fontId="126" fillId="4" borderId="0" xfId="0" applyFont="1" applyFill="1" applyAlignment="1">
      <alignment horizontal="left" vertical="center"/>
    </xf>
    <xf numFmtId="0" fontId="126" fillId="4" borderId="0" xfId="0" applyFont="1" applyFill="1" applyAlignment="1">
      <alignment horizontal="right" vertical="center"/>
    </xf>
    <xf numFmtId="0" fontId="110" fillId="4" borderId="44" xfId="0" applyFont="1" applyFill="1" applyBorder="1" applyAlignment="1">
      <alignment horizontal="center" vertical="center"/>
    </xf>
    <xf numFmtId="0" fontId="127" fillId="4" borderId="45" xfId="0" applyFont="1" applyFill="1" applyBorder="1" applyAlignment="1">
      <alignment horizontal="left" vertical="center"/>
    </xf>
    <xf numFmtId="0" fontId="110" fillId="4" borderId="45" xfId="0" applyFont="1" applyFill="1" applyBorder="1" applyAlignment="1">
      <alignment vertical="center"/>
    </xf>
    <xf numFmtId="174" fontId="128" fillId="4" borderId="45" xfId="0" applyNumberFormat="1" applyFont="1" applyFill="1" applyBorder="1" applyAlignment="1">
      <alignment horizontal="right" vertical="center"/>
    </xf>
    <xf numFmtId="176" fontId="128" fillId="4" borderId="45" xfId="0" applyNumberFormat="1" applyFont="1" applyFill="1" applyBorder="1" applyAlignment="1">
      <alignment horizontal="right" vertical="center"/>
    </xf>
    <xf numFmtId="0" fontId="129" fillId="4" borderId="0" xfId="0" applyFont="1" applyFill="1" applyAlignment="1">
      <alignment horizontal="left" vertical="center"/>
    </xf>
    <xf numFmtId="174" fontId="110" fillId="4" borderId="0" xfId="0" applyNumberFormat="1" applyFont="1" applyFill="1" applyAlignment="1">
      <alignment horizontal="right" vertical="center"/>
    </xf>
    <xf numFmtId="176" fontId="110" fillId="4" borderId="0" xfId="0" applyNumberFormat="1" applyFont="1" applyFill="1" applyAlignment="1">
      <alignment horizontal="right" vertical="center"/>
    </xf>
    <xf numFmtId="176" fontId="119" fillId="4" borderId="10" xfId="0" applyNumberFormat="1" applyFont="1" applyFill="1" applyBorder="1" applyAlignment="1">
      <alignment horizontal="left" vertical="center"/>
    </xf>
    <xf numFmtId="179" fontId="120" fillId="4" borderId="11" xfId="0" applyNumberFormat="1" applyFont="1" applyFill="1" applyBorder="1" applyAlignment="1">
      <alignment horizontal="right" vertical="center"/>
    </xf>
    <xf numFmtId="0" fontId="110" fillId="54" borderId="10" xfId="0" applyFont="1" applyFill="1" applyBorder="1" applyAlignment="1">
      <alignment horizontal="center" vertical="center"/>
    </xf>
    <xf numFmtId="0" fontId="129" fillId="54" borderId="0" xfId="0" applyFont="1" applyFill="1" applyAlignment="1">
      <alignment horizontal="left" vertical="center"/>
    </xf>
    <xf numFmtId="0" fontId="110" fillId="54" borderId="0" xfId="0" applyFont="1" applyFill="1" applyAlignment="1">
      <alignment vertical="center"/>
    </xf>
    <xf numFmtId="174" fontId="110" fillId="54" borderId="0" xfId="0" applyNumberFormat="1" applyFont="1" applyFill="1" applyAlignment="1">
      <alignment horizontal="right" vertical="center"/>
    </xf>
    <xf numFmtId="176" fontId="110" fillId="54" borderId="0" xfId="0" applyNumberFormat="1" applyFont="1" applyFill="1" applyAlignment="1">
      <alignment horizontal="right" vertical="center"/>
    </xf>
    <xf numFmtId="0" fontId="110" fillId="55" borderId="46" xfId="0" applyFont="1" applyFill="1" applyBorder="1" applyAlignment="1">
      <alignment horizontal="center" vertical="center"/>
    </xf>
    <xf numFmtId="0" fontId="130" fillId="55" borderId="47" xfId="0" applyFont="1" applyFill="1" applyBorder="1" applyAlignment="1">
      <alignment horizontal="left" vertical="center"/>
    </xf>
    <xf numFmtId="0" fontId="110" fillId="55" borderId="47" xfId="0" applyFont="1" applyFill="1" applyBorder="1" applyAlignment="1">
      <alignment vertical="center"/>
    </xf>
    <xf numFmtId="174" fontId="131" fillId="55" borderId="47" xfId="0" applyNumberFormat="1" applyFont="1" applyFill="1" applyBorder="1" applyAlignment="1">
      <alignment horizontal="right" vertical="center"/>
    </xf>
    <xf numFmtId="176" fontId="131" fillId="55" borderId="47" xfId="0" applyNumberFormat="1" applyFont="1" applyFill="1" applyBorder="1" applyAlignment="1">
      <alignment horizontal="right" vertical="center"/>
    </xf>
    <xf numFmtId="0" fontId="110" fillId="4" borderId="14" xfId="0" applyFont="1" applyFill="1" applyBorder="1" applyAlignment="1">
      <alignment vertical="center"/>
    </xf>
    <xf numFmtId="174" fontId="121" fillId="4" borderId="11" xfId="0" applyNumberFormat="1" applyFont="1" applyFill="1" applyBorder="1" applyAlignment="1">
      <alignment horizontal="right" vertical="center"/>
    </xf>
    <xf numFmtId="176" fontId="125" fillId="4" borderId="13" xfId="0" applyNumberFormat="1" applyFont="1" applyFill="1" applyBorder="1" applyAlignment="1">
      <alignment horizontal="left" vertical="center"/>
    </xf>
    <xf numFmtId="174" fontId="125" fillId="4" borderId="14" xfId="0" applyNumberFormat="1" applyFont="1" applyFill="1" applyBorder="1" applyAlignment="1">
      <alignment horizontal="right" vertical="center"/>
    </xf>
    <xf numFmtId="0" fontId="110" fillId="4" borderId="48" xfId="0" applyFont="1" applyFill="1" applyBorder="1" applyAlignment="1">
      <alignment horizontal="center" vertical="center"/>
    </xf>
    <xf numFmtId="0" fontId="126" fillId="4" borderId="49" xfId="0" applyFont="1" applyFill="1" applyBorder="1" applyAlignment="1">
      <alignment horizontal="left" vertical="center"/>
    </xf>
    <xf numFmtId="0" fontId="110" fillId="4" borderId="49" xfId="0" applyFont="1" applyFill="1" applyBorder="1" applyAlignment="1">
      <alignment vertical="center"/>
    </xf>
    <xf numFmtId="0" fontId="126" fillId="4" borderId="49" xfId="0" applyFont="1" applyFill="1" applyBorder="1" applyAlignment="1">
      <alignment horizontal="right" vertical="center"/>
    </xf>
    <xf numFmtId="3" fontId="132" fillId="0" borderId="50" xfId="0" applyNumberFormat="1" applyFont="1" applyBorder="1" applyAlignment="1">
      <alignment horizontal="center" vertical="center"/>
    </xf>
    <xf numFmtId="176" fontId="132" fillId="0" borderId="50" xfId="0" applyNumberFormat="1" applyFont="1" applyBorder="1" applyAlignment="1">
      <alignment horizontal="center" vertical="center"/>
    </xf>
    <xf numFmtId="3" fontId="132" fillId="0" borderId="51" xfId="0" applyNumberFormat="1" applyFont="1" applyBorder="1" applyAlignment="1">
      <alignment horizontal="center" vertical="center"/>
    </xf>
    <xf numFmtId="176" fontId="132" fillId="0" borderId="51" xfId="0" applyNumberFormat="1" applyFont="1" applyBorder="1" applyAlignment="1">
      <alignment horizontal="center" vertical="center"/>
    </xf>
    <xf numFmtId="0" fontId="133" fillId="54" borderId="0" xfId="0" applyFont="1" applyFill="1" applyAlignment="1">
      <alignment horizontal="left" vertical="center"/>
    </xf>
    <xf numFmtId="3" fontId="134" fillId="0" borderId="51" xfId="0" applyNumberFormat="1" applyFont="1" applyBorder="1" applyAlignment="1">
      <alignment horizontal="center" vertical="center"/>
    </xf>
    <xf numFmtId="176" fontId="134" fillId="0" borderId="51" xfId="0" applyNumberFormat="1" applyFont="1" applyBorder="1" applyAlignment="1">
      <alignment horizontal="center" vertical="center"/>
    </xf>
    <xf numFmtId="0" fontId="135" fillId="4" borderId="0" xfId="0" applyFont="1" applyFill="1" applyAlignment="1">
      <alignment horizontal="left" vertical="center"/>
    </xf>
    <xf numFmtId="3" fontId="136" fillId="0" borderId="52" xfId="0" applyNumberFormat="1" applyFont="1" applyBorder="1" applyAlignment="1">
      <alignment horizontal="center" vertical="center"/>
    </xf>
    <xf numFmtId="176" fontId="136" fillId="0" borderId="52" xfId="0" applyNumberFormat="1" applyFont="1" applyBorder="1" applyAlignment="1">
      <alignment horizontal="center" vertical="center"/>
    </xf>
    <xf numFmtId="3" fontId="131" fillId="55" borderId="47" xfId="0" applyNumberFormat="1" applyFont="1" applyFill="1" applyBorder="1" applyAlignment="1">
      <alignment horizontal="right" vertical="center"/>
    </xf>
    <xf numFmtId="10" fontId="131" fillId="55" borderId="47" xfId="0" applyNumberFormat="1" applyFont="1" applyFill="1" applyBorder="1" applyAlignment="1">
      <alignment horizontal="right" vertical="center"/>
    </xf>
    <xf numFmtId="0" fontId="110" fillId="3" borderId="27" xfId="0" applyFont="1" applyFill="1" applyBorder="1" applyAlignment="1">
      <alignment vertical="center"/>
    </xf>
    <xf numFmtId="0" fontId="137" fillId="3" borderId="27" xfId="0" applyFont="1" applyFill="1" applyBorder="1" applyAlignment="1">
      <alignment horizontal="left" vertical="center"/>
    </xf>
    <xf numFmtId="0" fontId="138" fillId="3" borderId="27" xfId="0" applyFont="1" applyFill="1" applyBorder="1" applyAlignment="1">
      <alignment horizontal="left" vertical="center"/>
    </xf>
    <xf numFmtId="0" fontId="139" fillId="3" borderId="27" xfId="0" applyFont="1" applyFill="1" applyBorder="1" applyAlignment="1">
      <alignment horizontal="right" vertical="center"/>
    </xf>
    <xf numFmtId="0" fontId="0" fillId="56" borderId="0" xfId="0" applyFill="1" applyAlignment="1">
      <alignment vertical="center"/>
    </xf>
    <xf numFmtId="0" fontId="140" fillId="0" borderId="0" xfId="0" applyFont="1" applyAlignment="1">
      <alignment horizontal="center" vertical="center"/>
    </xf>
    <xf numFmtId="0" fontId="0" fillId="0" borderId="0" xfId="0" applyAlignment="1">
      <alignment horizontal="center" vertical="center"/>
    </xf>
    <xf numFmtId="0" fontId="141" fillId="57" borderId="0" xfId="0" applyFont="1" applyFill="1" applyAlignment="1">
      <alignment horizontal="center" vertical="center"/>
    </xf>
    <xf numFmtId="0" fontId="0" fillId="53" borderId="0" xfId="0" applyFill="1" applyAlignment="1">
      <alignment horizontal="center" vertical="center"/>
    </xf>
    <xf numFmtId="0" fontId="142" fillId="58" borderId="53" xfId="0" applyFont="1" applyFill="1" applyBorder="1" applyAlignment="1">
      <alignment horizontal="center" vertical="center"/>
    </xf>
    <xf numFmtId="0" fontId="141" fillId="58" borderId="53" xfId="0" applyFont="1" applyFill="1" applyBorder="1" applyAlignment="1">
      <alignment horizontal="center" vertical="center"/>
    </xf>
    <xf numFmtId="0" fontId="143" fillId="58" borderId="53" xfId="0" applyFont="1" applyFill="1" applyBorder="1" applyAlignment="1">
      <alignment horizontal="center" vertical="center"/>
    </xf>
    <xf numFmtId="165" fontId="144" fillId="58" borderId="53" xfId="0" applyNumberFormat="1" applyFont="1" applyFill="1" applyBorder="1" applyAlignment="1">
      <alignment horizontal="center" vertical="center"/>
    </xf>
    <xf numFmtId="0" fontId="145" fillId="58" borderId="0" xfId="0" applyFont="1" applyFill="1" applyAlignment="1">
      <alignment horizontal="center" vertical="center"/>
    </xf>
    <xf numFmtId="0" fontId="141" fillId="58" borderId="0" xfId="0" applyFont="1" applyFill="1" applyAlignment="1">
      <alignment horizontal="center" vertical="center"/>
    </xf>
    <xf numFmtId="0" fontId="146" fillId="58" borderId="0" xfId="0" applyFont="1" applyFill="1" applyAlignment="1">
      <alignment horizontal="center" vertical="center"/>
    </xf>
    <xf numFmtId="0" fontId="147" fillId="58" borderId="0" xfId="0" applyFont="1" applyFill="1" applyAlignment="1">
      <alignment horizontal="center" vertical="center"/>
    </xf>
    <xf numFmtId="0" fontId="141" fillId="57" borderId="54" xfId="0" applyFont="1" applyFill="1" applyBorder="1" applyAlignment="1">
      <alignment horizontal="center" vertical="center"/>
    </xf>
    <xf numFmtId="0" fontId="0" fillId="53" borderId="54" xfId="0" applyFill="1" applyBorder="1" applyAlignment="1">
      <alignment horizontal="center" vertical="center"/>
    </xf>
    <xf numFmtId="0" fontId="148" fillId="57" borderId="55" xfId="0" applyFont="1" applyFill="1" applyBorder="1" applyAlignment="1">
      <alignment horizontal="center" vertical="center"/>
    </xf>
    <xf numFmtId="0" fontId="149" fillId="57" borderId="55" xfId="0" applyFont="1" applyFill="1" applyBorder="1" applyAlignment="1">
      <alignment horizontal="left" vertical="center"/>
    </xf>
    <xf numFmtId="0" fontId="141" fillId="57" borderId="55" xfId="0" applyFont="1" applyFill="1" applyBorder="1" applyAlignment="1">
      <alignment horizontal="center" vertical="center"/>
    </xf>
    <xf numFmtId="0" fontId="141" fillId="57" borderId="56" xfId="0" applyFont="1" applyFill="1" applyBorder="1" applyAlignment="1">
      <alignment horizontal="center" vertical="center"/>
    </xf>
    <xf numFmtId="0" fontId="0" fillId="53" borderId="56" xfId="0" applyFill="1" applyBorder="1" applyAlignment="1">
      <alignment horizontal="center" vertical="center"/>
    </xf>
    <xf numFmtId="0" fontId="150" fillId="59" borderId="0" xfId="0" applyFont="1" applyFill="1" applyAlignment="1">
      <alignment horizontal="center" vertical="center"/>
    </xf>
    <xf numFmtId="0" fontId="141" fillId="59" borderId="0" xfId="0" applyFont="1" applyFill="1" applyAlignment="1">
      <alignment horizontal="center" vertical="center"/>
    </xf>
    <xf numFmtId="0" fontId="141" fillId="57" borderId="57" xfId="0" applyFont="1" applyFill="1" applyBorder="1" applyAlignment="1">
      <alignment horizontal="center" vertical="center"/>
    </xf>
    <xf numFmtId="0" fontId="150" fillId="60" borderId="0" xfId="0" applyFont="1" applyFill="1" applyAlignment="1">
      <alignment horizontal="center" vertical="center"/>
    </xf>
    <xf numFmtId="0" fontId="141" fillId="60" borderId="0" xfId="0" applyFont="1" applyFill="1" applyAlignment="1">
      <alignment horizontal="center" vertical="center"/>
    </xf>
    <xf numFmtId="0" fontId="151" fillId="60" borderId="0" xfId="0" applyFont="1" applyFill="1" applyAlignment="1">
      <alignment horizontal="center" vertical="center"/>
    </xf>
    <xf numFmtId="0" fontId="150" fillId="61" borderId="0" xfId="0" applyFont="1" applyFill="1" applyAlignment="1">
      <alignment horizontal="center" vertical="center"/>
    </xf>
    <xf numFmtId="0" fontId="141" fillId="61" borderId="0" xfId="0" applyFont="1" applyFill="1" applyAlignment="1">
      <alignment horizontal="center" vertical="center"/>
    </xf>
    <xf numFmtId="180" fontId="151" fillId="61" borderId="0" xfId="0" applyNumberFormat="1" applyFont="1" applyFill="1" applyAlignment="1">
      <alignment horizontal="center" vertical="center"/>
    </xf>
    <xf numFmtId="0" fontId="150" fillId="62" borderId="0" xfId="0" applyFont="1" applyFill="1" applyAlignment="1">
      <alignment horizontal="center" vertical="center"/>
    </xf>
    <xf numFmtId="0" fontId="141" fillId="62" borderId="0" xfId="0" applyFont="1" applyFill="1" applyAlignment="1">
      <alignment horizontal="center" vertical="center"/>
    </xf>
    <xf numFmtId="181" fontId="152" fillId="62" borderId="0" xfId="0" applyNumberFormat="1" applyFont="1" applyFill="1" applyAlignment="1">
      <alignment horizontal="center" vertical="center"/>
    </xf>
    <xf numFmtId="0" fontId="0" fillId="63" borderId="0" xfId="0" applyFill="1" applyAlignment="1">
      <alignment horizontal="center" vertical="center"/>
    </xf>
    <xf numFmtId="176" fontId="153" fillId="59" borderId="0" xfId="0" applyNumberFormat="1" applyFont="1" applyFill="1" applyAlignment="1">
      <alignment horizontal="center" vertical="center"/>
    </xf>
    <xf numFmtId="0" fontId="141" fillId="57" borderId="58" xfId="0" applyFont="1" applyFill="1" applyBorder="1" applyAlignment="1">
      <alignment horizontal="center" vertical="center"/>
    </xf>
    <xf numFmtId="176" fontId="154" fillId="60" borderId="0" xfId="0" applyNumberFormat="1" applyFont="1" applyFill="1" applyAlignment="1">
      <alignment horizontal="center" vertical="center"/>
    </xf>
    <xf numFmtId="176" fontId="154" fillId="61" borderId="0" xfId="0" applyNumberFormat="1" applyFont="1" applyFill="1" applyAlignment="1">
      <alignment horizontal="center" vertical="center"/>
    </xf>
    <xf numFmtId="176" fontId="155" fillId="62" borderId="0" xfId="0" applyNumberFormat="1" applyFont="1" applyFill="1" applyAlignment="1">
      <alignment horizontal="center" vertical="center"/>
    </xf>
    <xf numFmtId="0" fontId="156" fillId="57" borderId="55" xfId="0" applyFont="1" applyFill="1" applyBorder="1" applyAlignment="1">
      <alignment horizontal="left" vertical="center"/>
    </xf>
    <xf numFmtId="0" fontId="141" fillId="57" borderId="59" xfId="0" applyFont="1" applyFill="1" applyBorder="1" applyAlignment="1">
      <alignment horizontal="center" vertical="center"/>
    </xf>
    <xf numFmtId="0" fontId="141" fillId="57" borderId="55" xfId="0" applyFont="1" applyFill="1" applyBorder="1" applyAlignment="1">
      <alignment horizontal="left" vertical="center"/>
    </xf>
    <xf numFmtId="0" fontId="141" fillId="57" borderId="60" xfId="0" applyFont="1" applyFill="1" applyBorder="1" applyAlignment="1">
      <alignment horizontal="center" vertical="center"/>
    </xf>
    <xf numFmtId="0" fontId="150" fillId="64" borderId="61" xfId="0" applyFont="1" applyFill="1" applyBorder="1" applyAlignment="1">
      <alignment horizontal="center" vertical="center"/>
    </xf>
    <xf numFmtId="0" fontId="141" fillId="64" borderId="61" xfId="0" applyFont="1" applyFill="1" applyBorder="1" applyAlignment="1">
      <alignment horizontal="center" vertical="center"/>
    </xf>
    <xf numFmtId="0" fontId="141" fillId="64" borderId="62" xfId="0" applyFont="1" applyFill="1" applyBorder="1" applyAlignment="1">
      <alignment horizontal="center" vertical="center"/>
    </xf>
    <xf numFmtId="0" fontId="150" fillId="65" borderId="61" xfId="0" applyFont="1" applyFill="1" applyBorder="1" applyAlignment="1">
      <alignment horizontal="center" vertical="center"/>
    </xf>
    <xf numFmtId="0" fontId="141" fillId="65" borderId="61" xfId="0" applyFont="1" applyFill="1" applyBorder="1" applyAlignment="1">
      <alignment horizontal="center" vertical="center"/>
    </xf>
    <xf numFmtId="0" fontId="0" fillId="53" borderId="63" xfId="0" applyFill="1" applyBorder="1" applyAlignment="1">
      <alignment horizontal="center" vertical="center"/>
    </xf>
    <xf numFmtId="0" fontId="157" fillId="64" borderId="0" xfId="0" applyFont="1" applyFill="1" applyAlignment="1">
      <alignment horizontal="left" vertical="center"/>
    </xf>
    <xf numFmtId="0" fontId="141" fillId="64" borderId="0" xfId="0" applyFont="1" applyFill="1" applyAlignment="1">
      <alignment horizontal="center" vertical="center"/>
    </xf>
    <xf numFmtId="174" fontId="158" fillId="64" borderId="0" xfId="0" applyNumberFormat="1" applyFont="1" applyFill="1" applyAlignment="1">
      <alignment horizontal="center" vertical="center"/>
    </xf>
    <xf numFmtId="176" fontId="158" fillId="64" borderId="0" xfId="0" applyNumberFormat="1" applyFont="1" applyFill="1" applyAlignment="1">
      <alignment horizontal="center" vertical="center"/>
    </xf>
    <xf numFmtId="0" fontId="157" fillId="65" borderId="0" xfId="0" applyFont="1" applyFill="1" applyAlignment="1">
      <alignment horizontal="left" vertical="center"/>
    </xf>
    <xf numFmtId="0" fontId="141" fillId="65" borderId="0" xfId="0" applyFont="1" applyFill="1" applyAlignment="1">
      <alignment horizontal="center" vertical="center"/>
    </xf>
    <xf numFmtId="3" fontId="158" fillId="65" borderId="0" xfId="0" applyNumberFormat="1" applyFont="1" applyFill="1" applyAlignment="1">
      <alignment horizontal="center" vertical="center"/>
    </xf>
    <xf numFmtId="176" fontId="158" fillId="65" borderId="0" xfId="0" applyNumberFormat="1" applyFont="1" applyFill="1" applyAlignment="1">
      <alignment horizontal="center" vertical="center"/>
    </xf>
    <xf numFmtId="0" fontId="0" fillId="53" borderId="64" xfId="0" applyFill="1" applyBorder="1" applyAlignment="1">
      <alignment horizontal="center" vertical="center"/>
    </xf>
    <xf numFmtId="0" fontId="159" fillId="64" borderId="50" xfId="0" applyFont="1" applyFill="1" applyBorder="1" applyAlignment="1">
      <alignment horizontal="left" vertical="center"/>
    </xf>
    <xf numFmtId="0" fontId="141" fillId="64" borderId="50" xfId="0" applyFont="1" applyFill="1" applyBorder="1" applyAlignment="1">
      <alignment horizontal="center" vertical="center"/>
    </xf>
    <xf numFmtId="174" fontId="132" fillId="64" borderId="50" xfId="0" applyNumberFormat="1" applyFont="1" applyFill="1" applyBorder="1" applyAlignment="1">
      <alignment horizontal="center" vertical="center"/>
    </xf>
    <xf numFmtId="176" fontId="132" fillId="64" borderId="50" xfId="0" applyNumberFormat="1" applyFont="1" applyFill="1" applyBorder="1" applyAlignment="1">
      <alignment horizontal="center" vertical="center"/>
    </xf>
    <xf numFmtId="0" fontId="159" fillId="65" borderId="50" xfId="0" applyFont="1" applyFill="1" applyBorder="1" applyAlignment="1">
      <alignment horizontal="left" vertical="center"/>
    </xf>
    <xf numFmtId="0" fontId="141" fillId="65" borderId="50" xfId="0" applyFont="1" applyFill="1" applyBorder="1" applyAlignment="1">
      <alignment horizontal="center" vertical="center"/>
    </xf>
    <xf numFmtId="3" fontId="132" fillId="65" borderId="50" xfId="0" applyNumberFormat="1" applyFont="1" applyFill="1" applyBorder="1" applyAlignment="1">
      <alignment horizontal="center" vertical="center"/>
    </xf>
    <xf numFmtId="176" fontId="132" fillId="65" borderId="50" xfId="0" applyNumberFormat="1" applyFont="1" applyFill="1" applyBorder="1" applyAlignment="1">
      <alignment horizontal="center" vertical="center"/>
    </xf>
    <xf numFmtId="0" fontId="0" fillId="53" borderId="50" xfId="0" applyFill="1" applyBorder="1" applyAlignment="1">
      <alignment horizontal="center" vertical="center"/>
    </xf>
    <xf numFmtId="0" fontId="159" fillId="64" borderId="51" xfId="0" applyFont="1" applyFill="1" applyBorder="1" applyAlignment="1">
      <alignment horizontal="left" vertical="center"/>
    </xf>
    <xf numFmtId="0" fontId="141" fillId="64" borderId="51" xfId="0" applyFont="1" applyFill="1" applyBorder="1" applyAlignment="1">
      <alignment horizontal="center" vertical="center"/>
    </xf>
    <xf numFmtId="174" fontId="132" fillId="64" borderId="51" xfId="0" applyNumberFormat="1" applyFont="1" applyFill="1" applyBorder="1" applyAlignment="1">
      <alignment horizontal="center" vertical="center"/>
    </xf>
    <xf numFmtId="176" fontId="132" fillId="64" borderId="51" xfId="0" applyNumberFormat="1" applyFont="1" applyFill="1" applyBorder="1" applyAlignment="1">
      <alignment horizontal="center" vertical="center"/>
    </xf>
    <xf numFmtId="0" fontId="159" fillId="65" borderId="51" xfId="0" applyFont="1" applyFill="1" applyBorder="1" applyAlignment="1">
      <alignment horizontal="left" vertical="center"/>
    </xf>
    <xf numFmtId="0" fontId="141" fillId="65" borderId="51" xfId="0" applyFont="1" applyFill="1" applyBorder="1" applyAlignment="1">
      <alignment horizontal="center" vertical="center"/>
    </xf>
    <xf numFmtId="3" fontId="132" fillId="65" borderId="51" xfId="0" applyNumberFormat="1" applyFont="1" applyFill="1" applyBorder="1" applyAlignment="1">
      <alignment horizontal="center" vertical="center"/>
    </xf>
    <xf numFmtId="176" fontId="132" fillId="65" borderId="51" xfId="0" applyNumberFormat="1" applyFont="1" applyFill="1" applyBorder="1" applyAlignment="1">
      <alignment horizontal="center" vertical="center"/>
    </xf>
    <xf numFmtId="0" fontId="0" fillId="53" borderId="51" xfId="0" applyFill="1" applyBorder="1" applyAlignment="1">
      <alignment horizontal="center" vertical="center"/>
    </xf>
    <xf numFmtId="0" fontId="160" fillId="65" borderId="51" xfId="0" applyFont="1" applyFill="1" applyBorder="1" applyAlignment="1">
      <alignment horizontal="left" vertical="center"/>
    </xf>
    <xf numFmtId="3" fontId="134" fillId="65" borderId="51" xfId="0" applyNumberFormat="1" applyFont="1" applyFill="1" applyBorder="1" applyAlignment="1">
      <alignment horizontal="center" vertical="center"/>
    </xf>
    <xf numFmtId="176" fontId="134" fillId="65" borderId="51" xfId="0" applyNumberFormat="1" applyFont="1" applyFill="1" applyBorder="1" applyAlignment="1">
      <alignment horizontal="center" vertical="center"/>
    </xf>
    <xf numFmtId="0" fontId="161" fillId="64" borderId="65" xfId="0" applyFont="1" applyFill="1" applyBorder="1" applyAlignment="1">
      <alignment horizontal="left" vertical="center"/>
    </xf>
    <xf numFmtId="0" fontId="141" fillId="64" borderId="65" xfId="0" applyFont="1" applyFill="1" applyBorder="1" applyAlignment="1">
      <alignment horizontal="center" vertical="center"/>
    </xf>
    <xf numFmtId="174" fontId="162" fillId="64" borderId="65" xfId="0" applyNumberFormat="1" applyFont="1" applyFill="1" applyBorder="1" applyAlignment="1">
      <alignment horizontal="center" vertical="center"/>
    </xf>
    <xf numFmtId="0" fontId="141" fillId="64" borderId="66" xfId="0" applyFont="1" applyFill="1" applyBorder="1" applyAlignment="1">
      <alignment horizontal="center" vertical="center"/>
    </xf>
    <xf numFmtId="0" fontId="163" fillId="65" borderId="52" xfId="0" applyFont="1" applyFill="1" applyBorder="1" applyAlignment="1">
      <alignment horizontal="left" vertical="center"/>
    </xf>
    <xf numFmtId="0" fontId="141" fillId="65" borderId="52" xfId="0" applyFont="1" applyFill="1" applyBorder="1" applyAlignment="1">
      <alignment horizontal="center" vertical="center"/>
    </xf>
    <xf numFmtId="3" fontId="136" fillId="65" borderId="52" xfId="0" applyNumberFormat="1" applyFont="1" applyFill="1" applyBorder="1" applyAlignment="1">
      <alignment horizontal="center" vertical="center"/>
    </xf>
    <xf numFmtId="176" fontId="136" fillId="65" borderId="52" xfId="0" applyNumberFormat="1" applyFont="1" applyFill="1" applyBorder="1" applyAlignment="1">
      <alignment horizontal="center" vertical="center"/>
    </xf>
    <xf numFmtId="0" fontId="0" fillId="53" borderId="67" xfId="0" applyFill="1" applyBorder="1" applyAlignment="1">
      <alignment horizontal="center" vertical="center"/>
    </xf>
    <xf numFmtId="0" fontId="150" fillId="66" borderId="0" xfId="0" applyFont="1" applyFill="1" applyAlignment="1">
      <alignment horizontal="center" vertical="center"/>
    </xf>
    <xf numFmtId="0" fontId="141" fillId="66" borderId="0" xfId="0" applyFont="1" applyFill="1" applyAlignment="1">
      <alignment horizontal="center" vertical="center"/>
    </xf>
    <xf numFmtId="178" fontId="164" fillId="66" borderId="0" xfId="0" applyNumberFormat="1" applyFont="1" applyFill="1" applyAlignment="1">
      <alignment horizontal="center" vertical="center"/>
    </xf>
    <xf numFmtId="0" fontId="150" fillId="67" borderId="0" xfId="0" applyFont="1" applyFill="1" applyAlignment="1">
      <alignment horizontal="center" vertical="center"/>
    </xf>
    <xf numFmtId="0" fontId="141" fillId="67" borderId="0" xfId="0" applyFont="1" applyFill="1" applyAlignment="1">
      <alignment horizontal="center" vertical="center"/>
    </xf>
    <xf numFmtId="176" fontId="165" fillId="66" borderId="0" xfId="0" applyNumberFormat="1" applyFont="1" applyFill="1" applyAlignment="1">
      <alignment horizontal="center" vertical="center"/>
    </xf>
    <xf numFmtId="176" fontId="165" fillId="67" borderId="0" xfId="0" applyNumberFormat="1" applyFont="1" applyFill="1" applyAlignment="1">
      <alignment horizontal="center" vertical="center"/>
    </xf>
    <xf numFmtId="0" fontId="150" fillId="68" borderId="0" xfId="0" applyFont="1" applyFill="1" applyAlignment="1">
      <alignment horizontal="center" vertical="center"/>
    </xf>
    <xf numFmtId="0" fontId="141" fillId="68" borderId="0" xfId="0" applyFont="1" applyFill="1" applyAlignment="1">
      <alignment horizontal="center" vertical="center"/>
    </xf>
    <xf numFmtId="0" fontId="150" fillId="65" borderId="0" xfId="0" applyFont="1" applyFill="1" applyAlignment="1">
      <alignment horizontal="center" vertical="center"/>
    </xf>
    <xf numFmtId="176" fontId="166" fillId="68" borderId="0" xfId="0" applyNumberFormat="1" applyFont="1" applyFill="1" applyAlignment="1">
      <alignment horizontal="center" vertical="center"/>
    </xf>
    <xf numFmtId="10" fontId="167" fillId="68" borderId="0" xfId="0" applyNumberFormat="1" applyFont="1" applyFill="1" applyAlignment="1">
      <alignment horizontal="center" vertical="center"/>
    </xf>
    <xf numFmtId="176" fontId="166" fillId="65" borderId="0" xfId="0" applyNumberFormat="1" applyFont="1" applyFill="1" applyAlignment="1">
      <alignment horizontal="center" vertical="center"/>
    </xf>
    <xf numFmtId="174" fontId="167" fillId="65" borderId="0" xfId="0" applyNumberFormat="1" applyFont="1" applyFill="1" applyAlignment="1">
      <alignment horizontal="center" vertical="center"/>
    </xf>
    <xf numFmtId="0" fontId="141" fillId="68" borderId="68" xfId="0" applyFont="1" applyFill="1" applyBorder="1" applyAlignment="1">
      <alignment horizontal="center" vertical="center"/>
    </xf>
    <xf numFmtId="0" fontId="141" fillId="65" borderId="68" xfId="0" applyFont="1" applyFill="1" applyBorder="1" applyAlignment="1">
      <alignment horizontal="center" vertical="center"/>
    </xf>
    <xf numFmtId="0" fontId="0" fillId="53" borderId="68" xfId="0" applyFill="1" applyBorder="1" applyAlignment="1">
      <alignment horizontal="center" vertical="center"/>
    </xf>
    <xf numFmtId="176" fontId="168" fillId="68" borderId="0" xfId="0" applyNumberFormat="1" applyFont="1" applyFill="1" applyAlignment="1">
      <alignment horizontal="center" vertical="center"/>
    </xf>
    <xf numFmtId="10" fontId="168" fillId="68" borderId="0" xfId="0" applyNumberFormat="1" applyFont="1" applyFill="1" applyAlignment="1">
      <alignment horizontal="center" vertical="center"/>
    </xf>
    <xf numFmtId="176" fontId="168" fillId="65" borderId="0" xfId="0" applyNumberFormat="1" applyFont="1" applyFill="1" applyAlignment="1">
      <alignment horizontal="center" vertical="center"/>
    </xf>
    <xf numFmtId="174" fontId="168" fillId="65" borderId="0" xfId="0" applyNumberFormat="1" applyFont="1" applyFill="1" applyAlignment="1">
      <alignment horizontal="center" vertical="center"/>
    </xf>
    <xf numFmtId="0" fontId="141" fillId="58" borderId="69" xfId="0" applyFont="1" applyFill="1" applyBorder="1" applyAlignment="1">
      <alignment horizontal="center" vertical="center"/>
    </xf>
    <xf numFmtId="0" fontId="169" fillId="58" borderId="0" xfId="0" applyFont="1" applyFill="1" applyAlignment="1">
      <alignment horizontal="center" vertical="center"/>
    </xf>
    <xf numFmtId="0" fontId="170" fillId="58" borderId="0" xfId="0" applyFont="1" applyFill="1" applyAlignment="1">
      <alignment horizontal="center" vertical="center"/>
    </xf>
    <xf numFmtId="43" fontId="44" fillId="37" borderId="21" xfId="1" applyFont="1" applyFill="1" applyBorder="1" applyAlignment="1">
      <alignment horizontal="center" vertical="center"/>
    </xf>
    <xf numFmtId="43" fontId="0" fillId="0" borderId="0" xfId="0" applyNumberFormat="1"/>
    <xf numFmtId="43" fontId="42" fillId="22" borderId="21" xfId="1" applyFont="1" applyFill="1" applyBorder="1" applyAlignment="1">
      <alignment vertical="center"/>
    </xf>
    <xf numFmtId="43" fontId="42" fillId="34" borderId="21" xfId="1" applyFont="1" applyFill="1" applyBorder="1" applyAlignment="1">
      <alignment vertical="center"/>
    </xf>
    <xf numFmtId="43" fontId="42" fillId="35" borderId="21" xfId="1" applyFont="1" applyFill="1" applyBorder="1" applyAlignment="1">
      <alignment vertical="center"/>
    </xf>
    <xf numFmtId="43" fontId="42" fillId="36" borderId="21" xfId="1" applyFont="1" applyFill="1" applyBorder="1" applyAlignment="1">
      <alignment vertical="center"/>
    </xf>
    <xf numFmtId="43" fontId="42" fillId="20" borderId="21" xfId="1" applyFont="1" applyFill="1" applyBorder="1" applyAlignment="1">
      <alignment vertical="center"/>
    </xf>
    <xf numFmtId="43" fontId="42" fillId="25" borderId="21" xfId="1" applyFont="1" applyFill="1" applyBorder="1" applyAlignment="1">
      <alignment vertical="center"/>
    </xf>
    <xf numFmtId="0" fontId="41" fillId="36" borderId="21" xfId="0" applyFont="1" applyFill="1" applyBorder="1" applyAlignment="1">
      <alignment vertical="center"/>
    </xf>
    <xf numFmtId="43" fontId="187" fillId="44" borderId="34" xfId="1" applyFont="1" applyFill="1" applyBorder="1" applyAlignment="1">
      <alignment vertical="center"/>
    </xf>
    <xf numFmtId="43" fontId="188" fillId="46" borderId="34" xfId="1" applyFont="1" applyFill="1" applyBorder="1" applyAlignment="1">
      <alignment vertical="center"/>
    </xf>
    <xf numFmtId="43" fontId="189" fillId="47" borderId="34" xfId="1" applyFont="1" applyFill="1" applyBorder="1" applyAlignment="1">
      <alignment vertical="center"/>
    </xf>
    <xf numFmtId="43" fontId="190" fillId="48" borderId="34" xfId="1" applyFont="1" applyFill="1" applyBorder="1" applyAlignment="1">
      <alignment vertical="center"/>
    </xf>
    <xf numFmtId="0" fontId="192" fillId="4" borderId="0" xfId="14" applyFont="1" applyFill="1" applyAlignment="1">
      <alignment horizontal="left" vertical="center"/>
    </xf>
    <xf numFmtId="166" fontId="193" fillId="4" borderId="19" xfId="0" applyNumberFormat="1" applyFont="1" applyFill="1" applyBorder="1" applyAlignment="1">
      <alignment horizontal="center" vertical="center" textRotation="90"/>
    </xf>
    <xf numFmtId="0" fontId="192" fillId="4" borderId="0" xfId="1" applyNumberFormat="1" applyFont="1" applyFill="1" applyAlignment="1">
      <alignment horizontal="center" vertical="center" wrapText="1"/>
    </xf>
    <xf numFmtId="0" fontId="193" fillId="4" borderId="0" xfId="0" applyFont="1" applyFill="1" applyAlignment="1">
      <alignment horizontal="center" vertical="center" wrapText="1"/>
    </xf>
    <xf numFmtId="0" fontId="192" fillId="4" borderId="0" xfId="0" applyFont="1" applyFill="1" applyAlignment="1">
      <alignment horizontal="center" vertical="center" wrapText="1"/>
    </xf>
    <xf numFmtId="166" fontId="193" fillId="4" borderId="0" xfId="0" applyNumberFormat="1" applyFont="1" applyFill="1" applyAlignment="1">
      <alignment horizontal="center" vertical="center" textRotation="90" wrapText="1"/>
    </xf>
    <xf numFmtId="43" fontId="192" fillId="4" borderId="0" xfId="1" applyFont="1" applyFill="1" applyAlignment="1">
      <alignment vertical="center" wrapText="1"/>
    </xf>
    <xf numFmtId="0" fontId="192" fillId="4" borderId="0" xfId="0" applyFont="1" applyFill="1" applyAlignment="1">
      <alignment horizontal="center" vertical="center"/>
    </xf>
    <xf numFmtId="0" fontId="192" fillId="4" borderId="20" xfId="0" applyFont="1" applyFill="1" applyBorder="1" applyAlignment="1">
      <alignment horizontal="center" vertical="center" wrapText="1"/>
    </xf>
    <xf numFmtId="0" fontId="192" fillId="4" borderId="0" xfId="14" applyFont="1" applyFill="1" applyAlignment="1">
      <alignment horizontal="center" vertical="center"/>
    </xf>
    <xf numFmtId="0" fontId="194" fillId="4" borderId="0" xfId="14" applyFont="1" applyFill="1" applyAlignment="1">
      <alignment horizontal="center" vertical="center"/>
    </xf>
    <xf numFmtId="0" fontId="195" fillId="0" borderId="0" xfId="14" applyFont="1" applyAlignment="1">
      <alignment horizontal="left" vertical="center"/>
    </xf>
    <xf numFmtId="14" fontId="192" fillId="4" borderId="0" xfId="0" applyNumberFormat="1" applyFont="1" applyFill="1" applyAlignment="1">
      <alignment horizontal="center" vertical="center"/>
    </xf>
    <xf numFmtId="0" fontId="192" fillId="4" borderId="0" xfId="0" applyFont="1" applyFill="1" applyAlignment="1">
      <alignment vertical="center"/>
    </xf>
    <xf numFmtId="166" fontId="193" fillId="4" borderId="0" xfId="0" applyNumberFormat="1" applyFont="1" applyFill="1" applyAlignment="1">
      <alignment horizontal="center" vertical="center" textRotation="90"/>
    </xf>
    <xf numFmtId="43" fontId="192" fillId="4" borderId="0" xfId="1" applyFont="1" applyFill="1" applyAlignment="1">
      <alignment horizontal="center" vertical="center" wrapText="1"/>
    </xf>
    <xf numFmtId="0" fontId="194" fillId="4" borderId="0" xfId="0" applyFont="1" applyFill="1" applyAlignment="1">
      <alignment horizontal="center" vertical="center" wrapText="1"/>
    </xf>
    <xf numFmtId="0" fontId="196" fillId="0" borderId="0" xfId="0" applyFont="1" applyAlignment="1">
      <alignment vertical="center"/>
    </xf>
    <xf numFmtId="0" fontId="196" fillId="0" borderId="0" xfId="0" applyFont="1" applyAlignment="1">
      <alignment horizontal="center" vertical="center" wrapText="1"/>
    </xf>
    <xf numFmtId="0" fontId="194" fillId="0" borderId="0" xfId="0" applyFont="1" applyAlignment="1">
      <alignment horizontal="center" vertical="center" wrapText="1"/>
    </xf>
    <xf numFmtId="43" fontId="196" fillId="0" borderId="0" xfId="1" applyFont="1" applyAlignment="1">
      <alignment horizontal="center" vertical="center" wrapText="1"/>
    </xf>
    <xf numFmtId="0" fontId="195" fillId="0" borderId="0" xfId="0" applyFont="1" applyAlignment="1">
      <alignment vertical="center"/>
    </xf>
    <xf numFmtId="166" fontId="193" fillId="4" borderId="0" xfId="0" applyNumberFormat="1" applyFont="1" applyFill="1" applyAlignment="1">
      <alignment vertical="center"/>
    </xf>
    <xf numFmtId="0" fontId="202" fillId="33" borderId="0" xfId="0" applyFont="1" applyFill="1" applyAlignment="1">
      <alignment vertical="center"/>
    </xf>
    <xf numFmtId="168" fontId="204" fillId="4" borderId="0" xfId="1" applyNumberFormat="1" applyFont="1" applyFill="1" applyAlignment="1">
      <alignment vertical="center"/>
    </xf>
    <xf numFmtId="43" fontId="202" fillId="33" borderId="0" xfId="0" applyNumberFormat="1" applyFont="1" applyFill="1" applyAlignment="1">
      <alignment vertical="center"/>
    </xf>
    <xf numFmtId="43" fontId="192" fillId="4" borderId="0" xfId="0" applyNumberFormat="1" applyFont="1" applyFill="1" applyAlignment="1">
      <alignment vertical="center"/>
    </xf>
    <xf numFmtId="0" fontId="193" fillId="4" borderId="0" xfId="0" applyFont="1" applyFill="1" applyAlignment="1">
      <alignment vertical="center"/>
    </xf>
    <xf numFmtId="166" fontId="192" fillId="4" borderId="19" xfId="0" applyNumberFormat="1" applyFont="1" applyFill="1" applyBorder="1" applyAlignment="1">
      <alignment horizontal="center" vertical="center" textRotation="90"/>
    </xf>
    <xf numFmtId="0" fontId="206" fillId="31" borderId="24" xfId="0" applyFont="1" applyFill="1" applyBorder="1" applyAlignment="1">
      <alignment horizontal="center" vertical="center"/>
    </xf>
    <xf numFmtId="0" fontId="206" fillId="31" borderId="24" xfId="0" applyFont="1" applyFill="1" applyBorder="1" applyAlignment="1">
      <alignment horizontal="center" vertical="center" wrapText="1"/>
    </xf>
    <xf numFmtId="14" fontId="206" fillId="31" borderId="24" xfId="0" applyNumberFormat="1" applyFont="1" applyFill="1" applyBorder="1" applyAlignment="1">
      <alignment horizontal="center" vertical="center" wrapText="1"/>
    </xf>
    <xf numFmtId="166" fontId="207" fillId="31" borderId="24" xfId="0" applyNumberFormat="1" applyFont="1" applyFill="1" applyBorder="1" applyAlignment="1">
      <alignment horizontal="center" vertical="center" textRotation="90"/>
    </xf>
    <xf numFmtId="0" fontId="207" fillId="31" borderId="24" xfId="0" applyFont="1" applyFill="1" applyBorder="1" applyAlignment="1">
      <alignment horizontal="center" vertical="center" wrapText="1"/>
    </xf>
    <xf numFmtId="0" fontId="207" fillId="31" borderId="24" xfId="0" applyFont="1" applyFill="1" applyBorder="1" applyAlignment="1">
      <alignment horizontal="center" vertical="center" textRotation="90" wrapText="1"/>
    </xf>
    <xf numFmtId="43" fontId="200" fillId="31" borderId="24" xfId="1" applyFont="1" applyFill="1" applyBorder="1" applyAlignment="1">
      <alignment horizontal="center" vertical="center" wrapText="1"/>
    </xf>
    <xf numFmtId="0" fontId="208" fillId="31" borderId="24" xfId="0" applyFont="1" applyFill="1" applyBorder="1" applyAlignment="1">
      <alignment horizontal="center" vertical="center" wrapText="1"/>
    </xf>
    <xf numFmtId="0" fontId="205" fillId="31" borderId="24" xfId="0" applyFont="1" applyFill="1" applyBorder="1" applyAlignment="1">
      <alignment horizontal="center" vertical="center" wrapText="1"/>
    </xf>
    <xf numFmtId="0" fontId="205" fillId="31" borderId="0" xfId="0" applyFont="1" applyFill="1" applyAlignment="1">
      <alignment horizontal="center" vertical="center" wrapText="1"/>
    </xf>
    <xf numFmtId="0" fontId="206" fillId="31" borderId="0" xfId="0" applyFont="1" applyFill="1" applyAlignment="1">
      <alignment horizontal="center" vertical="center" wrapText="1"/>
    </xf>
    <xf numFmtId="0" fontId="206" fillId="31" borderId="0" xfId="0" applyFont="1" applyFill="1" applyAlignment="1">
      <alignment vertical="center"/>
    </xf>
    <xf numFmtId="0" fontId="196" fillId="0" borderId="0" xfId="0" applyFont="1" applyAlignment="1">
      <alignment horizontal="center" vertical="center"/>
    </xf>
    <xf numFmtId="14" fontId="196" fillId="0" borderId="0" xfId="0" applyNumberFormat="1" applyFont="1" applyAlignment="1">
      <alignment horizontal="center" vertical="center"/>
    </xf>
    <xf numFmtId="166" fontId="209" fillId="0" borderId="19" xfId="0" applyNumberFormat="1" applyFont="1" applyBorder="1" applyAlignment="1">
      <alignment horizontal="center" vertical="center" textRotation="90"/>
    </xf>
    <xf numFmtId="0" fontId="209" fillId="0" borderId="0" xfId="0" applyFont="1" applyAlignment="1">
      <alignment horizontal="center" vertical="center" wrapText="1"/>
    </xf>
    <xf numFmtId="166" fontId="209" fillId="0" borderId="0" xfId="0" applyNumberFormat="1" applyFont="1" applyAlignment="1">
      <alignment horizontal="center" vertical="center" textRotation="90" wrapText="1"/>
    </xf>
    <xf numFmtId="0" fontId="210" fillId="0" borderId="25" xfId="3" applyFont="1" applyBorder="1" applyAlignment="1">
      <alignment horizontal="left" vertical="center" wrapText="1"/>
    </xf>
    <xf numFmtId="0" fontId="211" fillId="0" borderId="0" xfId="0" applyFont="1"/>
    <xf numFmtId="0" fontId="87" fillId="3" borderId="72" xfId="10" applyFont="1" applyFill="1" applyBorder="1" applyAlignment="1">
      <alignment horizontal="center" vertical="center" wrapText="1"/>
    </xf>
    <xf numFmtId="0" fontId="87" fillId="3" borderId="74" xfId="10" applyFont="1" applyFill="1" applyBorder="1" applyAlignment="1">
      <alignment vertical="center" wrapText="1"/>
    </xf>
    <xf numFmtId="0" fontId="0" fillId="0" borderId="75" xfId="0" applyBorder="1"/>
    <xf numFmtId="0" fontId="87" fillId="3" borderId="79" xfId="10" applyFont="1" applyFill="1" applyBorder="1" applyAlignment="1">
      <alignment horizontal="center" vertical="center" wrapText="1"/>
    </xf>
    <xf numFmtId="0" fontId="88" fillId="3" borderId="76" xfId="10" applyFont="1" applyFill="1" applyBorder="1" applyAlignment="1">
      <alignment horizontal="center" vertical="center" wrapText="1"/>
    </xf>
    <xf numFmtId="43" fontId="90" fillId="48" borderId="78" xfId="1" applyFont="1" applyFill="1" applyBorder="1" applyAlignment="1">
      <alignment vertical="center"/>
    </xf>
    <xf numFmtId="40" fontId="90" fillId="48" borderId="78" xfId="10" applyNumberFormat="1" applyFont="1" applyFill="1" applyBorder="1" applyAlignment="1">
      <alignment vertical="center"/>
    </xf>
    <xf numFmtId="43" fontId="89" fillId="48" borderId="78" xfId="10" applyNumberFormat="1" applyFont="1" applyFill="1" applyBorder="1" applyAlignment="1">
      <alignment vertical="center"/>
    </xf>
    <xf numFmtId="43" fontId="90" fillId="48" borderId="78" xfId="10" applyNumberFormat="1" applyFont="1" applyFill="1" applyBorder="1" applyAlignment="1">
      <alignment vertical="center"/>
    </xf>
    <xf numFmtId="14" fontId="91" fillId="48" borderId="78" xfId="19" applyNumberFormat="1" applyFont="1" applyFill="1" applyBorder="1" applyAlignment="1">
      <alignment horizontal="center" vertical="center" wrapText="1"/>
    </xf>
    <xf numFmtId="14" fontId="90" fillId="48" borderId="78" xfId="19" applyNumberFormat="1" applyFont="1" applyFill="1" applyBorder="1" applyAlignment="1">
      <alignment horizontal="center" vertical="center"/>
    </xf>
    <xf numFmtId="173" fontId="92" fillId="48" borderId="78" xfId="11" applyNumberFormat="1" applyFont="1" applyFill="1" applyBorder="1" applyAlignment="1">
      <alignment horizontal="center" vertical="center"/>
    </xf>
    <xf numFmtId="174" fontId="93" fillId="51" borderId="78" xfId="10" applyNumberFormat="1" applyFont="1" applyFill="1" applyBorder="1" applyAlignment="1">
      <alignment horizontal="center" vertical="center" wrapText="1"/>
    </xf>
    <xf numFmtId="173" fontId="90" fillId="48" borderId="78" xfId="10" applyNumberFormat="1" applyFont="1" applyFill="1" applyBorder="1" applyAlignment="1">
      <alignment vertical="center"/>
    </xf>
    <xf numFmtId="173" fontId="94" fillId="48" borderId="78" xfId="10" applyNumberFormat="1" applyFont="1" applyFill="1" applyBorder="1" applyAlignment="1">
      <alignment horizontal="center" vertical="center" wrapText="1"/>
    </xf>
    <xf numFmtId="173" fontId="90" fillId="48" borderId="80" xfId="10" applyNumberFormat="1" applyFont="1" applyFill="1" applyBorder="1" applyAlignment="1">
      <alignment horizontal="center" vertical="center" wrapText="1"/>
    </xf>
    <xf numFmtId="0" fontId="88" fillId="3" borderId="81" xfId="10" applyFont="1" applyFill="1" applyBorder="1" applyAlignment="1">
      <alignment horizontal="center" vertical="center" wrapText="1"/>
    </xf>
    <xf numFmtId="43" fontId="90" fillId="48" borderId="73" xfId="1" applyFont="1" applyFill="1" applyBorder="1" applyAlignment="1">
      <alignment vertical="center"/>
    </xf>
    <xf numFmtId="40" fontId="90" fillId="48" borderId="73" xfId="10" applyNumberFormat="1" applyFont="1" applyFill="1" applyBorder="1" applyAlignment="1">
      <alignment vertical="center"/>
    </xf>
    <xf numFmtId="43" fontId="89" fillId="48" borderId="73" xfId="10" applyNumberFormat="1" applyFont="1" applyFill="1" applyBorder="1" applyAlignment="1">
      <alignment vertical="center"/>
    </xf>
    <xf numFmtId="43" fontId="90" fillId="48" borderId="73" xfId="10" applyNumberFormat="1" applyFont="1" applyFill="1" applyBorder="1" applyAlignment="1">
      <alignment vertical="center"/>
    </xf>
    <xf numFmtId="14" fontId="91" fillId="48" borderId="73" xfId="19" applyNumberFormat="1" applyFont="1" applyFill="1" applyBorder="1" applyAlignment="1">
      <alignment horizontal="center" vertical="center" wrapText="1"/>
    </xf>
    <xf numFmtId="14" fontId="90" fillId="48" borderId="73" xfId="19" applyNumberFormat="1" applyFont="1" applyFill="1" applyBorder="1" applyAlignment="1">
      <alignment horizontal="center" vertical="center"/>
    </xf>
    <xf numFmtId="173" fontId="92" fillId="48" borderId="73" xfId="11" applyNumberFormat="1" applyFont="1" applyFill="1" applyBorder="1" applyAlignment="1">
      <alignment horizontal="center" vertical="center"/>
    </xf>
    <xf numFmtId="174" fontId="93" fillId="51" borderId="73" xfId="10" applyNumberFormat="1" applyFont="1" applyFill="1" applyBorder="1" applyAlignment="1">
      <alignment horizontal="center" vertical="center" wrapText="1"/>
    </xf>
    <xf numFmtId="173" fontId="90" fillId="48" borderId="73" xfId="10" applyNumberFormat="1" applyFont="1" applyFill="1" applyBorder="1" applyAlignment="1">
      <alignment horizontal="center" vertical="center"/>
    </xf>
    <xf numFmtId="173" fontId="94" fillId="48" borderId="73" xfId="10" applyNumberFormat="1" applyFont="1" applyFill="1" applyBorder="1" applyAlignment="1">
      <alignment horizontal="center" vertical="center" wrapText="1"/>
    </xf>
    <xf numFmtId="173" fontId="90" fillId="48" borderId="82" xfId="10" applyNumberFormat="1" applyFont="1" applyFill="1" applyBorder="1" applyAlignment="1">
      <alignment horizontal="center" vertical="center" wrapText="1"/>
    </xf>
    <xf numFmtId="0" fontId="95" fillId="48" borderId="81" xfId="10" applyFont="1" applyFill="1" applyBorder="1" applyAlignment="1">
      <alignment horizontal="center" vertical="center" wrapText="1"/>
    </xf>
    <xf numFmtId="43" fontId="92" fillId="4" borderId="73" xfId="1" applyFont="1" applyFill="1" applyBorder="1" applyAlignment="1">
      <alignment vertical="center"/>
    </xf>
    <xf numFmtId="40" fontId="92" fillId="4" borderId="73" xfId="10" applyNumberFormat="1" applyFont="1" applyFill="1" applyBorder="1" applyAlignment="1">
      <alignment vertical="center"/>
    </xf>
    <xf numFmtId="43" fontId="95" fillId="4" borderId="73" xfId="10" applyNumberFormat="1" applyFont="1" applyFill="1" applyBorder="1" applyAlignment="1">
      <alignment vertical="center"/>
    </xf>
    <xf numFmtId="43" fontId="92" fillId="4" borderId="73" xfId="10" applyNumberFormat="1" applyFont="1" applyFill="1" applyBorder="1" applyAlignment="1">
      <alignment vertical="center"/>
    </xf>
    <xf numFmtId="14" fontId="91" fillId="4" borderId="73" xfId="19" applyNumberFormat="1" applyFont="1" applyFill="1" applyBorder="1" applyAlignment="1">
      <alignment horizontal="center" vertical="center" wrapText="1"/>
    </xf>
    <xf numFmtId="14" fontId="92" fillId="4" borderId="73" xfId="19" applyNumberFormat="1" applyFont="1" applyFill="1" applyBorder="1" applyAlignment="1">
      <alignment horizontal="center" vertical="center"/>
    </xf>
    <xf numFmtId="173" fontId="92" fillId="4" borderId="73" xfId="11" applyNumberFormat="1" applyFont="1" applyFill="1" applyBorder="1" applyAlignment="1">
      <alignment horizontal="center" vertical="center"/>
    </xf>
    <xf numFmtId="0" fontId="92" fillId="4" borderId="73" xfId="10" applyFont="1" applyFill="1" applyBorder="1"/>
    <xf numFmtId="173" fontId="94" fillId="4" borderId="73" xfId="10" applyNumberFormat="1" applyFont="1" applyFill="1" applyBorder="1" applyAlignment="1">
      <alignment horizontal="center" vertical="center" wrapText="1"/>
    </xf>
    <xf numFmtId="173" fontId="92" fillId="4" borderId="82" xfId="10" applyNumberFormat="1" applyFont="1" applyFill="1" applyBorder="1" applyAlignment="1">
      <alignment horizontal="center" vertical="center"/>
    </xf>
    <xf numFmtId="0" fontId="95" fillId="52" borderId="83" xfId="10" applyFont="1" applyFill="1" applyBorder="1" applyAlignment="1">
      <alignment horizontal="center" vertical="center" wrapText="1"/>
    </xf>
    <xf numFmtId="43" fontId="92" fillId="2" borderId="84" xfId="1" applyFont="1" applyFill="1" applyBorder="1" applyAlignment="1">
      <alignment vertical="center"/>
    </xf>
    <xf numFmtId="40" fontId="92" fillId="2" borderId="84" xfId="10" applyNumberFormat="1" applyFont="1" applyFill="1" applyBorder="1" applyAlignment="1">
      <alignment vertical="center"/>
    </xf>
    <xf numFmtId="43" fontId="95" fillId="2" borderId="84" xfId="10" applyNumberFormat="1" applyFont="1" applyFill="1" applyBorder="1" applyAlignment="1">
      <alignment vertical="center"/>
    </xf>
    <xf numFmtId="43" fontId="92" fillId="2" borderId="84" xfId="10" applyNumberFormat="1" applyFont="1" applyFill="1" applyBorder="1" applyAlignment="1">
      <alignment vertical="center"/>
    </xf>
    <xf numFmtId="14" fontId="91" fillId="2" borderId="84" xfId="19" applyNumberFormat="1" applyFont="1" applyFill="1" applyBorder="1" applyAlignment="1">
      <alignment horizontal="center" vertical="center" wrapText="1"/>
    </xf>
    <xf numFmtId="14" fontId="92" fillId="2" borderId="84" xfId="19" applyNumberFormat="1" applyFont="1" applyFill="1" applyBorder="1" applyAlignment="1">
      <alignment horizontal="center" vertical="center"/>
    </xf>
    <xf numFmtId="173" fontId="92" fillId="2" borderId="84" xfId="11" applyNumberFormat="1" applyFont="1" applyFill="1" applyBorder="1" applyAlignment="1">
      <alignment horizontal="center" vertical="center"/>
    </xf>
    <xf numFmtId="174" fontId="93" fillId="51" borderId="84" xfId="10" applyNumberFormat="1" applyFont="1" applyFill="1" applyBorder="1" applyAlignment="1">
      <alignment horizontal="center" vertical="center" wrapText="1"/>
    </xf>
    <xf numFmtId="173" fontId="92" fillId="2" borderId="84" xfId="10" applyNumberFormat="1" applyFont="1" applyFill="1" applyBorder="1" applyAlignment="1">
      <alignment horizontal="center" vertical="center"/>
    </xf>
    <xf numFmtId="173" fontId="94" fillId="2" borderId="84" xfId="10" applyNumberFormat="1" applyFont="1" applyFill="1" applyBorder="1" applyAlignment="1">
      <alignment horizontal="center" vertical="center" wrapText="1"/>
    </xf>
    <xf numFmtId="173" fontId="92" fillId="2" borderId="85" xfId="10" applyNumberFormat="1" applyFont="1" applyFill="1" applyBorder="1" applyAlignment="1">
      <alignment horizontal="center" vertical="center"/>
    </xf>
    <xf numFmtId="0" fontId="95" fillId="48" borderId="83" xfId="10" applyFont="1" applyFill="1" applyBorder="1" applyAlignment="1">
      <alignment horizontal="center" vertical="center" wrapText="1"/>
    </xf>
    <xf numFmtId="43" fontId="92" fillId="4" borderId="84" xfId="1" applyFont="1" applyFill="1" applyBorder="1" applyAlignment="1">
      <alignment vertical="center"/>
    </xf>
    <xf numFmtId="40" fontId="92" fillId="4" borderId="84" xfId="10" applyNumberFormat="1" applyFont="1" applyFill="1" applyBorder="1" applyAlignment="1">
      <alignment vertical="center"/>
    </xf>
    <xf numFmtId="43" fontId="95" fillId="4" borderId="84" xfId="10" applyNumberFormat="1" applyFont="1" applyFill="1" applyBorder="1" applyAlignment="1">
      <alignment vertical="center"/>
    </xf>
    <xf numFmtId="43" fontId="92" fillId="4" borderId="84" xfId="10" applyNumberFormat="1" applyFont="1" applyFill="1" applyBorder="1" applyAlignment="1">
      <alignment vertical="center"/>
    </xf>
    <xf numFmtId="14" fontId="91" fillId="4" borderId="84" xfId="19" applyNumberFormat="1" applyFont="1" applyFill="1" applyBorder="1" applyAlignment="1">
      <alignment horizontal="center" vertical="center" wrapText="1"/>
    </xf>
    <xf numFmtId="14" fontId="92" fillId="4" borderId="84" xfId="19" applyNumberFormat="1" applyFont="1" applyFill="1" applyBorder="1" applyAlignment="1">
      <alignment horizontal="center" vertical="center"/>
    </xf>
    <xf numFmtId="173" fontId="92" fillId="4" borderId="84" xfId="11" applyNumberFormat="1" applyFont="1" applyFill="1" applyBorder="1" applyAlignment="1">
      <alignment horizontal="center" vertical="center"/>
    </xf>
    <xf numFmtId="173" fontId="92" fillId="4" borderId="84" xfId="10" applyNumberFormat="1" applyFont="1" applyFill="1" applyBorder="1" applyAlignment="1">
      <alignment horizontal="center" vertical="center"/>
    </xf>
    <xf numFmtId="173" fontId="94" fillId="4" borderId="84" xfId="10" applyNumberFormat="1" applyFont="1" applyFill="1" applyBorder="1" applyAlignment="1">
      <alignment horizontal="center" vertical="center" wrapText="1"/>
    </xf>
    <xf numFmtId="173" fontId="92" fillId="4" borderId="85" xfId="10" applyNumberFormat="1" applyFont="1" applyFill="1" applyBorder="1" applyAlignment="1">
      <alignment horizontal="center" vertical="center"/>
    </xf>
    <xf numFmtId="173" fontId="92" fillId="2" borderId="85" xfId="10" applyNumberFormat="1" applyFont="1" applyFill="1" applyBorder="1" applyAlignment="1">
      <alignment horizontal="center" vertical="center" wrapText="1"/>
    </xf>
    <xf numFmtId="173" fontId="92" fillId="4" borderId="85" xfId="10" applyNumberFormat="1" applyFont="1" applyFill="1" applyBorder="1" applyAlignment="1">
      <alignment horizontal="center" vertical="center" wrapText="1"/>
    </xf>
    <xf numFmtId="14" fontId="91" fillId="4" borderId="84" xfId="10" applyNumberFormat="1" applyFont="1" applyFill="1" applyBorder="1" applyAlignment="1">
      <alignment horizontal="center" vertical="center" wrapText="1"/>
    </xf>
    <xf numFmtId="14" fontId="92" fillId="4" borderId="84" xfId="10" applyNumberFormat="1" applyFont="1" applyFill="1" applyBorder="1" applyAlignment="1">
      <alignment horizontal="center" vertical="center"/>
    </xf>
    <xf numFmtId="173" fontId="92" fillId="4" borderId="84" xfId="11" applyNumberFormat="1" applyFont="1" applyFill="1" applyBorder="1" applyAlignment="1">
      <alignment horizontal="center" vertical="center" wrapText="1"/>
    </xf>
    <xf numFmtId="173" fontId="92" fillId="2" borderId="84" xfId="11" applyNumberFormat="1" applyFont="1" applyFill="1" applyBorder="1" applyAlignment="1">
      <alignment horizontal="center" vertical="center" wrapText="1"/>
    </xf>
    <xf numFmtId="174" fontId="97" fillId="84" borderId="84" xfId="10" applyNumberFormat="1" applyFont="1" applyFill="1" applyBorder="1" applyAlignment="1">
      <alignment horizontal="center" vertical="center" wrapText="1"/>
    </xf>
    <xf numFmtId="0" fontId="95" fillId="52" borderId="86" xfId="10" applyFont="1" applyFill="1" applyBorder="1" applyAlignment="1">
      <alignment horizontal="center" vertical="center" wrapText="1"/>
    </xf>
    <xf numFmtId="0" fontId="95" fillId="2" borderId="87" xfId="10" applyFont="1" applyFill="1" applyBorder="1" applyAlignment="1">
      <alignment horizontal="center" vertical="center" wrapText="1"/>
    </xf>
    <xf numFmtId="0" fontId="0" fillId="0" borderId="87" xfId="0" applyBorder="1"/>
    <xf numFmtId="43" fontId="95" fillId="2" borderId="87" xfId="1" applyFont="1" applyFill="1" applyBorder="1" applyAlignment="1">
      <alignment horizontal="right" vertical="center"/>
    </xf>
    <xf numFmtId="43" fontId="92" fillId="2" borderId="87" xfId="1" applyFont="1" applyFill="1" applyBorder="1" applyAlignment="1">
      <alignment vertical="center"/>
    </xf>
    <xf numFmtId="40" fontId="92" fillId="2" borderId="87" xfId="10" applyNumberFormat="1" applyFont="1" applyFill="1" applyBorder="1" applyAlignment="1">
      <alignment vertical="center"/>
    </xf>
    <xf numFmtId="173" fontId="92" fillId="2" borderId="88" xfId="10" applyNumberFormat="1" applyFont="1" applyFill="1" applyBorder="1" applyAlignment="1">
      <alignment horizontal="center" vertical="center" wrapText="1"/>
    </xf>
    <xf numFmtId="43" fontId="76" fillId="3" borderId="90" xfId="1" applyFont="1" applyFill="1" applyBorder="1" applyAlignment="1">
      <alignment vertical="center"/>
    </xf>
    <xf numFmtId="39" fontId="98" fillId="3" borderId="90" xfId="10" applyNumberFormat="1" applyFont="1" applyFill="1" applyBorder="1" applyAlignment="1">
      <alignment vertical="center"/>
    </xf>
    <xf numFmtId="40" fontId="99" fillId="3" borderId="90" xfId="10" applyNumberFormat="1" applyFont="1" applyFill="1" applyBorder="1" applyAlignment="1">
      <alignment vertical="center"/>
    </xf>
    <xf numFmtId="43" fontId="100" fillId="3" borderId="90" xfId="10" applyNumberFormat="1" applyFont="1" applyFill="1" applyBorder="1" applyAlignment="1">
      <alignment vertical="center"/>
    </xf>
    <xf numFmtId="43" fontId="76" fillId="3" borderId="90" xfId="10" applyNumberFormat="1" applyFont="1" applyFill="1" applyBorder="1" applyAlignment="1">
      <alignment vertical="center"/>
    </xf>
    <xf numFmtId="43" fontId="212" fillId="2" borderId="84" xfId="10" applyNumberFormat="1" applyFont="1" applyFill="1" applyBorder="1" applyAlignment="1">
      <alignment vertical="center"/>
    </xf>
    <xf numFmtId="1" fontId="213" fillId="72" borderId="24" xfId="0" applyNumberFormat="1" applyFont="1" applyFill="1" applyBorder="1" applyAlignment="1">
      <alignment horizontal="center" vertical="center"/>
    </xf>
    <xf numFmtId="0" fontId="214" fillId="72" borderId="24" xfId="0" applyFont="1" applyFill="1" applyBorder="1" applyAlignment="1">
      <alignment horizontal="center" vertical="center" wrapText="1"/>
    </xf>
    <xf numFmtId="14" fontId="214" fillId="72" borderId="24" xfId="0" applyNumberFormat="1" applyFont="1" applyFill="1" applyBorder="1" applyAlignment="1">
      <alignment horizontal="center" vertical="center" wrapText="1"/>
    </xf>
    <xf numFmtId="166" fontId="213" fillId="72" borderId="24" xfId="0" applyNumberFormat="1" applyFont="1" applyFill="1" applyBorder="1" applyAlignment="1">
      <alignment horizontal="center" vertical="center" textRotation="90"/>
    </xf>
    <xf numFmtId="169" fontId="215" fillId="72" borderId="24" xfId="0" applyNumberFormat="1" applyFont="1" applyFill="1" applyBorder="1" applyAlignment="1">
      <alignment horizontal="center" vertical="center" wrapText="1"/>
    </xf>
    <xf numFmtId="166" fontId="213" fillId="72" borderId="24" xfId="0" applyNumberFormat="1" applyFont="1" applyFill="1" applyBorder="1" applyAlignment="1">
      <alignment horizontal="center" vertical="center" textRotation="90" wrapText="1"/>
    </xf>
    <xf numFmtId="43" fontId="213" fillId="72" borderId="24" xfId="1" applyFont="1" applyFill="1" applyBorder="1" applyAlignment="1">
      <alignment horizontal="left" vertical="center" wrapText="1"/>
    </xf>
    <xf numFmtId="43" fontId="214" fillId="72" borderId="24" xfId="1" applyFont="1" applyFill="1" applyBorder="1" applyAlignment="1">
      <alignment horizontal="left" vertical="center" wrapText="1"/>
    </xf>
    <xf numFmtId="0" fontId="216" fillId="72" borderId="24" xfId="0" applyFont="1" applyFill="1" applyBorder="1" applyAlignment="1">
      <alignment horizontal="center" vertical="center" wrapText="1"/>
    </xf>
    <xf numFmtId="43" fontId="216" fillId="72" borderId="24" xfId="1" applyFont="1" applyFill="1" applyBorder="1" applyAlignment="1">
      <alignment horizontal="center" vertical="center" wrapText="1"/>
    </xf>
    <xf numFmtId="43" fontId="218" fillId="72" borderId="24" xfId="1" applyFont="1" applyFill="1" applyBorder="1" applyAlignment="1">
      <alignment horizontal="center" vertical="center" wrapText="1"/>
    </xf>
    <xf numFmtId="43" fontId="218" fillId="33" borderId="0" xfId="1" applyFont="1" applyFill="1" applyAlignment="1">
      <alignment horizontal="center" vertical="center" wrapText="1"/>
    </xf>
    <xf numFmtId="0" fontId="217" fillId="33" borderId="0" xfId="0" applyFont="1" applyFill="1" applyAlignment="1">
      <alignment horizontal="left" vertical="center"/>
    </xf>
    <xf numFmtId="0" fontId="217" fillId="72" borderId="24" xfId="0" applyFont="1" applyFill="1" applyBorder="1" applyAlignment="1">
      <alignment horizontal="center" vertical="center" wrapText="1"/>
    </xf>
    <xf numFmtId="0" fontId="213" fillId="0" borderId="0" xfId="0" applyFont="1" applyAlignment="1">
      <alignment horizontal="left" vertical="center"/>
    </xf>
    <xf numFmtId="1" fontId="213" fillId="73" borderId="24" xfId="1" applyNumberFormat="1" applyFont="1" applyFill="1" applyBorder="1" applyAlignment="1">
      <alignment horizontal="center" vertical="center" wrapText="1"/>
    </xf>
    <xf numFmtId="0" fontId="214" fillId="73" borderId="24" xfId="0" applyFont="1" applyFill="1" applyBorder="1" applyAlignment="1">
      <alignment horizontal="center" vertical="center" wrapText="1"/>
    </xf>
    <xf numFmtId="14" fontId="214" fillId="73" borderId="24" xfId="0" applyNumberFormat="1" applyFont="1" applyFill="1" applyBorder="1" applyAlignment="1">
      <alignment horizontal="center" vertical="center" wrapText="1"/>
    </xf>
    <xf numFmtId="166" fontId="213" fillId="73" borderId="24" xfId="0" applyNumberFormat="1" applyFont="1" applyFill="1" applyBorder="1" applyAlignment="1">
      <alignment horizontal="center" vertical="center" textRotation="90"/>
    </xf>
    <xf numFmtId="0" fontId="215" fillId="73" borderId="24" xfId="0" applyFont="1" applyFill="1" applyBorder="1" applyAlignment="1">
      <alignment horizontal="center" vertical="center" wrapText="1"/>
    </xf>
    <xf numFmtId="169" fontId="215" fillId="73" borderId="24" xfId="0" applyNumberFormat="1" applyFont="1" applyFill="1" applyBorder="1" applyAlignment="1">
      <alignment horizontal="center" vertical="center" wrapText="1"/>
    </xf>
    <xf numFmtId="166" fontId="213" fillId="73" borderId="24" xfId="0" applyNumberFormat="1" applyFont="1" applyFill="1" applyBorder="1" applyAlignment="1">
      <alignment horizontal="center" vertical="center" textRotation="90" wrapText="1"/>
    </xf>
    <xf numFmtId="43" fontId="213" fillId="73" borderId="24" xfId="1" applyFont="1" applyFill="1" applyBorder="1" applyAlignment="1">
      <alignment horizontal="left" vertical="center"/>
    </xf>
    <xf numFmtId="43" fontId="214" fillId="73" borderId="24" xfId="1" applyFont="1" applyFill="1" applyBorder="1" applyAlignment="1">
      <alignment horizontal="left" vertical="center" wrapText="1"/>
    </xf>
    <xf numFmtId="0" fontId="216" fillId="73" borderId="24" xfId="0" applyFont="1" applyFill="1" applyBorder="1" applyAlignment="1">
      <alignment horizontal="center" vertical="center" wrapText="1"/>
    </xf>
    <xf numFmtId="43" fontId="216" fillId="73" borderId="24" xfId="1" applyFont="1" applyFill="1" applyBorder="1" applyAlignment="1">
      <alignment horizontal="center" vertical="center" wrapText="1"/>
    </xf>
    <xf numFmtId="43" fontId="218" fillId="73" borderId="24" xfId="1" applyFont="1" applyFill="1" applyBorder="1" applyAlignment="1">
      <alignment horizontal="center" vertical="center" wrapText="1"/>
    </xf>
    <xf numFmtId="43" fontId="218" fillId="4" borderId="0" xfId="1" applyFont="1" applyFill="1" applyAlignment="1">
      <alignment horizontal="center" vertical="center" wrapText="1"/>
    </xf>
    <xf numFmtId="0" fontId="217" fillId="4" borderId="0" xfId="0" applyFont="1" applyFill="1" applyAlignment="1">
      <alignment horizontal="left" vertical="center"/>
    </xf>
    <xf numFmtId="0" fontId="217" fillId="73" borderId="24" xfId="0" applyFont="1" applyFill="1" applyBorder="1" applyAlignment="1">
      <alignment horizontal="center" vertical="center" wrapText="1"/>
    </xf>
    <xf numFmtId="1" fontId="213" fillId="74" borderId="24" xfId="0" applyNumberFormat="1" applyFont="1" applyFill="1" applyBorder="1" applyAlignment="1">
      <alignment horizontal="center" vertical="center"/>
    </xf>
    <xf numFmtId="0" fontId="214" fillId="74" borderId="24" xfId="0" applyFont="1" applyFill="1" applyBorder="1" applyAlignment="1">
      <alignment horizontal="center" vertical="center" wrapText="1"/>
    </xf>
    <xf numFmtId="14" fontId="214" fillId="74" borderId="24" xfId="0" applyNumberFormat="1" applyFont="1" applyFill="1" applyBorder="1" applyAlignment="1">
      <alignment horizontal="center" vertical="center" wrapText="1"/>
    </xf>
    <xf numFmtId="166" fontId="213" fillId="74" borderId="24" xfId="0" applyNumberFormat="1" applyFont="1" applyFill="1" applyBorder="1" applyAlignment="1">
      <alignment horizontal="center" vertical="center" textRotation="90"/>
    </xf>
    <xf numFmtId="169" fontId="215" fillId="74" borderId="24" xfId="0" applyNumberFormat="1" applyFont="1" applyFill="1" applyBorder="1" applyAlignment="1">
      <alignment horizontal="center" vertical="center" wrapText="1"/>
    </xf>
    <xf numFmtId="166" fontId="213" fillId="74" borderId="24" xfId="0" applyNumberFormat="1" applyFont="1" applyFill="1" applyBorder="1" applyAlignment="1">
      <alignment horizontal="center" vertical="center" textRotation="90" wrapText="1"/>
    </xf>
    <xf numFmtId="43" fontId="213" fillId="74" borderId="24" xfId="1" applyFont="1" applyFill="1" applyBorder="1" applyAlignment="1">
      <alignment horizontal="left" vertical="center" wrapText="1"/>
    </xf>
    <xf numFmtId="43" fontId="214" fillId="74" borderId="24" xfId="1" applyFont="1" applyFill="1" applyBorder="1" applyAlignment="1">
      <alignment horizontal="left" vertical="center" wrapText="1"/>
    </xf>
    <xf numFmtId="0" fontId="216" fillId="74" borderId="24" xfId="0" applyFont="1" applyFill="1" applyBorder="1" applyAlignment="1">
      <alignment horizontal="center" vertical="center" wrapText="1"/>
    </xf>
    <xf numFmtId="43" fontId="216" fillId="74" borderId="24" xfId="1" applyFont="1" applyFill="1" applyBorder="1" applyAlignment="1">
      <alignment horizontal="center" vertical="center" wrapText="1"/>
    </xf>
    <xf numFmtId="43" fontId="218" fillId="74" borderId="24" xfId="1" applyFont="1" applyFill="1" applyBorder="1" applyAlignment="1">
      <alignment horizontal="center" vertical="center" wrapText="1"/>
    </xf>
    <xf numFmtId="0" fontId="217" fillId="74" borderId="24" xfId="0" applyFont="1" applyFill="1" applyBorder="1" applyAlignment="1">
      <alignment horizontal="center" vertical="center" wrapText="1"/>
    </xf>
    <xf numFmtId="1" fontId="213" fillId="75" borderId="24" xfId="1" applyNumberFormat="1" applyFont="1" applyFill="1" applyBorder="1" applyAlignment="1">
      <alignment horizontal="center" vertical="center" wrapText="1"/>
    </xf>
    <xf numFmtId="0" fontId="214" fillId="75" borderId="24" xfId="0" applyFont="1" applyFill="1" applyBorder="1" applyAlignment="1">
      <alignment horizontal="center" vertical="center" wrapText="1"/>
    </xf>
    <xf numFmtId="14" fontId="214" fillId="75" borderId="24" xfId="0" applyNumberFormat="1" applyFont="1" applyFill="1" applyBorder="1" applyAlignment="1">
      <alignment horizontal="center" vertical="center" wrapText="1"/>
    </xf>
    <xf numFmtId="166" fontId="213" fillId="75" borderId="24" xfId="0" applyNumberFormat="1" applyFont="1" applyFill="1" applyBorder="1" applyAlignment="1">
      <alignment horizontal="center" vertical="center" textRotation="90"/>
    </xf>
    <xf numFmtId="0" fontId="215" fillId="75" borderId="24" xfId="0" applyFont="1" applyFill="1" applyBorder="1" applyAlignment="1">
      <alignment horizontal="center" vertical="center" wrapText="1"/>
    </xf>
    <xf numFmtId="169" fontId="215" fillId="75" borderId="24" xfId="0" applyNumberFormat="1" applyFont="1" applyFill="1" applyBorder="1" applyAlignment="1">
      <alignment horizontal="center" vertical="center" wrapText="1"/>
    </xf>
    <xf numFmtId="166" fontId="213" fillId="75" borderId="24" xfId="0" applyNumberFormat="1" applyFont="1" applyFill="1" applyBorder="1" applyAlignment="1">
      <alignment horizontal="center" vertical="center" textRotation="90" wrapText="1"/>
    </xf>
    <xf numFmtId="43" fontId="213" fillId="75" borderId="24" xfId="1" applyFont="1" applyFill="1" applyBorder="1" applyAlignment="1">
      <alignment horizontal="left" vertical="center"/>
    </xf>
    <xf numFmtId="43" fontId="214" fillId="75" borderId="24" xfId="1" applyFont="1" applyFill="1" applyBorder="1" applyAlignment="1">
      <alignment horizontal="left" vertical="center" wrapText="1"/>
    </xf>
    <xf numFmtId="0" fontId="216" fillId="75" borderId="24" xfId="0" applyFont="1" applyFill="1" applyBorder="1" applyAlignment="1">
      <alignment horizontal="center" vertical="center" wrapText="1"/>
    </xf>
    <xf numFmtId="43" fontId="216" fillId="75" borderId="24" xfId="1" applyFont="1" applyFill="1" applyBorder="1" applyAlignment="1">
      <alignment horizontal="center" vertical="center" wrapText="1"/>
    </xf>
    <xf numFmtId="43" fontId="218" fillId="75" borderId="24" xfId="1" applyFont="1" applyFill="1" applyBorder="1" applyAlignment="1">
      <alignment horizontal="center" vertical="center" wrapText="1"/>
    </xf>
    <xf numFmtId="0" fontId="217" fillId="75" borderId="24" xfId="0" applyFont="1" applyFill="1" applyBorder="1" applyAlignment="1">
      <alignment horizontal="center" vertical="center" wrapText="1"/>
    </xf>
    <xf numFmtId="0" fontId="219" fillId="74" borderId="24" xfId="0" applyFont="1" applyFill="1" applyBorder="1" applyAlignment="1">
      <alignment horizontal="center" vertical="center" wrapText="1"/>
    </xf>
    <xf numFmtId="1" fontId="213" fillId="76" borderId="24" xfId="0" applyNumberFormat="1" applyFont="1" applyFill="1" applyBorder="1" applyAlignment="1">
      <alignment horizontal="center" vertical="center"/>
    </xf>
    <xf numFmtId="0" fontId="214" fillId="76" borderId="24" xfId="0" applyFont="1" applyFill="1" applyBorder="1" applyAlignment="1">
      <alignment horizontal="center" vertical="center" wrapText="1"/>
    </xf>
    <xf numFmtId="14" fontId="214" fillId="76" borderId="24" xfId="0" applyNumberFormat="1" applyFont="1" applyFill="1" applyBorder="1" applyAlignment="1">
      <alignment horizontal="center" vertical="center" wrapText="1"/>
    </xf>
    <xf numFmtId="166" fontId="213" fillId="76" borderId="24" xfId="0" applyNumberFormat="1" applyFont="1" applyFill="1" applyBorder="1" applyAlignment="1">
      <alignment horizontal="center" vertical="center" textRotation="90"/>
    </xf>
    <xf numFmtId="169" fontId="215" fillId="76" borderId="24" xfId="0" applyNumberFormat="1" applyFont="1" applyFill="1" applyBorder="1" applyAlignment="1">
      <alignment horizontal="center" vertical="center" wrapText="1"/>
    </xf>
    <xf numFmtId="166" fontId="213" fillId="76" borderId="24" xfId="0" applyNumberFormat="1" applyFont="1" applyFill="1" applyBorder="1" applyAlignment="1">
      <alignment horizontal="center" vertical="center" textRotation="90" wrapText="1"/>
    </xf>
    <xf numFmtId="43" fontId="213" fillId="76" borderId="24" xfId="1" applyFont="1" applyFill="1" applyBorder="1" applyAlignment="1">
      <alignment horizontal="left" vertical="center" wrapText="1"/>
    </xf>
    <xf numFmtId="43" fontId="214" fillId="76" borderId="24" xfId="1" applyFont="1" applyFill="1" applyBorder="1" applyAlignment="1">
      <alignment horizontal="left" vertical="center" wrapText="1"/>
    </xf>
    <xf numFmtId="0" fontId="216" fillId="76" borderId="24" xfId="0" applyFont="1" applyFill="1" applyBorder="1" applyAlignment="1">
      <alignment horizontal="center" vertical="center" wrapText="1"/>
    </xf>
    <xf numFmtId="43" fontId="216" fillId="76" borderId="24" xfId="1" applyFont="1" applyFill="1" applyBorder="1" applyAlignment="1">
      <alignment horizontal="center" vertical="center" wrapText="1"/>
    </xf>
    <xf numFmtId="43" fontId="218" fillId="76" borderId="24" xfId="1" applyFont="1" applyFill="1" applyBorder="1" applyAlignment="1">
      <alignment horizontal="center" vertical="center" wrapText="1"/>
    </xf>
    <xf numFmtId="0" fontId="217" fillId="76" borderId="24" xfId="0" applyFont="1" applyFill="1" applyBorder="1" applyAlignment="1">
      <alignment horizontal="center" vertical="center" wrapText="1"/>
    </xf>
    <xf numFmtId="1" fontId="213" fillId="77" borderId="24" xfId="1" applyNumberFormat="1" applyFont="1" applyFill="1" applyBorder="1" applyAlignment="1">
      <alignment horizontal="center" vertical="center" wrapText="1"/>
    </xf>
    <xf numFmtId="0" fontId="214" fillId="77" borderId="24" xfId="0" applyFont="1" applyFill="1" applyBorder="1" applyAlignment="1">
      <alignment horizontal="center" vertical="center" wrapText="1"/>
    </xf>
    <xf numFmtId="14" fontId="214" fillId="77" borderId="24" xfId="0" applyNumberFormat="1" applyFont="1" applyFill="1" applyBorder="1" applyAlignment="1">
      <alignment horizontal="center" vertical="center" wrapText="1"/>
    </xf>
    <xf numFmtId="166" fontId="213" fillId="77" borderId="24" xfId="0" applyNumberFormat="1" applyFont="1" applyFill="1" applyBorder="1" applyAlignment="1">
      <alignment horizontal="center" vertical="center" textRotation="90"/>
    </xf>
    <xf numFmtId="0" fontId="215" fillId="77" borderId="24" xfId="0" applyFont="1" applyFill="1" applyBorder="1" applyAlignment="1">
      <alignment horizontal="center" vertical="center" wrapText="1"/>
    </xf>
    <xf numFmtId="169" fontId="215" fillId="77" borderId="24" xfId="0" applyNumberFormat="1" applyFont="1" applyFill="1" applyBorder="1" applyAlignment="1">
      <alignment horizontal="center" vertical="center" wrapText="1"/>
    </xf>
    <xf numFmtId="166" fontId="213" fillId="77" borderId="24" xfId="0" applyNumberFormat="1" applyFont="1" applyFill="1" applyBorder="1" applyAlignment="1">
      <alignment horizontal="center" vertical="center" textRotation="90" wrapText="1"/>
    </xf>
    <xf numFmtId="43" fontId="213" fillId="77" borderId="24" xfId="1" applyFont="1" applyFill="1" applyBorder="1" applyAlignment="1">
      <alignment horizontal="left" vertical="center"/>
    </xf>
    <xf numFmtId="43" fontId="214" fillId="77" borderId="24" xfId="1" applyFont="1" applyFill="1" applyBorder="1" applyAlignment="1">
      <alignment horizontal="left" vertical="center" wrapText="1"/>
    </xf>
    <xf numFmtId="0" fontId="216" fillId="77" borderId="24" xfId="0" applyFont="1" applyFill="1" applyBorder="1" applyAlignment="1">
      <alignment horizontal="center" vertical="center" wrapText="1"/>
    </xf>
    <xf numFmtId="43" fontId="216" fillId="77" borderId="24" xfId="1" applyFont="1" applyFill="1" applyBorder="1" applyAlignment="1">
      <alignment horizontal="center" vertical="center" wrapText="1"/>
    </xf>
    <xf numFmtId="43" fontId="218" fillId="77" borderId="24" xfId="1" applyFont="1" applyFill="1" applyBorder="1" applyAlignment="1">
      <alignment horizontal="center" vertical="center" wrapText="1"/>
    </xf>
    <xf numFmtId="0" fontId="217" fillId="77" borderId="24" xfId="0" applyFont="1" applyFill="1" applyBorder="1" applyAlignment="1">
      <alignment horizontal="center" vertical="center" wrapText="1"/>
    </xf>
    <xf numFmtId="1" fontId="213" fillId="78" borderId="24" xfId="0" applyNumberFormat="1" applyFont="1" applyFill="1" applyBorder="1" applyAlignment="1">
      <alignment horizontal="center" vertical="center"/>
    </xf>
    <xf numFmtId="0" fontId="214" fillId="78" borderId="24" xfId="0" applyFont="1" applyFill="1" applyBorder="1" applyAlignment="1">
      <alignment horizontal="center" vertical="center" wrapText="1"/>
    </xf>
    <xf numFmtId="14" fontId="214" fillId="78" borderId="24" xfId="0" applyNumberFormat="1" applyFont="1" applyFill="1" applyBorder="1" applyAlignment="1">
      <alignment horizontal="center" vertical="center" wrapText="1"/>
    </xf>
    <xf numFmtId="166" fontId="213" fillId="78" borderId="24" xfId="0" applyNumberFormat="1" applyFont="1" applyFill="1" applyBorder="1" applyAlignment="1">
      <alignment horizontal="center" vertical="center" textRotation="90"/>
    </xf>
    <xf numFmtId="169" fontId="215" fillId="78" borderId="24" xfId="0" applyNumberFormat="1" applyFont="1" applyFill="1" applyBorder="1" applyAlignment="1">
      <alignment horizontal="center" vertical="center" wrapText="1"/>
    </xf>
    <xf numFmtId="166" fontId="213" fillId="78" borderId="24" xfId="0" applyNumberFormat="1" applyFont="1" applyFill="1" applyBorder="1" applyAlignment="1">
      <alignment horizontal="center" vertical="center" textRotation="90" wrapText="1"/>
    </xf>
    <xf numFmtId="43" fontId="213" fillId="78" borderId="24" xfId="1" applyFont="1" applyFill="1" applyBorder="1" applyAlignment="1">
      <alignment horizontal="left" vertical="center" wrapText="1"/>
    </xf>
    <xf numFmtId="43" fontId="214" fillId="78" borderId="24" xfId="1" applyFont="1" applyFill="1" applyBorder="1" applyAlignment="1">
      <alignment horizontal="left" vertical="center" wrapText="1"/>
    </xf>
    <xf numFmtId="0" fontId="216" fillId="78" borderId="24" xfId="0" applyFont="1" applyFill="1" applyBorder="1" applyAlignment="1">
      <alignment horizontal="center" vertical="center" wrapText="1"/>
    </xf>
    <xf numFmtId="43" fontId="216" fillId="78" borderId="24" xfId="1" applyFont="1" applyFill="1" applyBorder="1" applyAlignment="1">
      <alignment horizontal="center" vertical="center" wrapText="1"/>
    </xf>
    <xf numFmtId="43" fontId="218" fillId="78" borderId="24" xfId="1" applyFont="1" applyFill="1" applyBorder="1" applyAlignment="1">
      <alignment horizontal="center" vertical="center" wrapText="1"/>
    </xf>
    <xf numFmtId="0" fontId="217" fillId="78" borderId="24" xfId="0" applyFont="1" applyFill="1" applyBorder="1" applyAlignment="1">
      <alignment horizontal="center" vertical="center" wrapText="1"/>
    </xf>
    <xf numFmtId="1" fontId="213" fillId="79" borderId="24" xfId="1" applyNumberFormat="1" applyFont="1" applyFill="1" applyBorder="1" applyAlignment="1">
      <alignment horizontal="center" vertical="center" wrapText="1"/>
    </xf>
    <xf numFmtId="0" fontId="214" fillId="79" borderId="24" xfId="0" applyFont="1" applyFill="1" applyBorder="1" applyAlignment="1">
      <alignment horizontal="center" vertical="center" wrapText="1"/>
    </xf>
    <xf numFmtId="14" fontId="214" fillId="79" borderId="24" xfId="0" applyNumberFormat="1" applyFont="1" applyFill="1" applyBorder="1" applyAlignment="1">
      <alignment horizontal="center" vertical="center" wrapText="1"/>
    </xf>
    <xf numFmtId="43" fontId="213" fillId="79" borderId="24" xfId="1" applyFont="1" applyFill="1" applyBorder="1" applyAlignment="1">
      <alignment horizontal="left" vertical="center" wrapText="1"/>
    </xf>
    <xf numFmtId="166" fontId="213" fillId="79" borderId="24" xfId="0" applyNumberFormat="1" applyFont="1" applyFill="1" applyBorder="1" applyAlignment="1">
      <alignment horizontal="center" vertical="center" textRotation="90"/>
    </xf>
    <xf numFmtId="0" fontId="215" fillId="79" borderId="24" xfId="0" applyFont="1" applyFill="1" applyBorder="1" applyAlignment="1">
      <alignment horizontal="center" vertical="center" wrapText="1"/>
    </xf>
    <xf numFmtId="169" fontId="215" fillId="79" borderId="24" xfId="0" applyNumberFormat="1" applyFont="1" applyFill="1" applyBorder="1" applyAlignment="1">
      <alignment horizontal="center" vertical="center" wrapText="1"/>
    </xf>
    <xf numFmtId="166" fontId="213" fillId="79" borderId="24" xfId="0" applyNumberFormat="1" applyFont="1" applyFill="1" applyBorder="1" applyAlignment="1">
      <alignment horizontal="center" vertical="center" textRotation="90" wrapText="1"/>
    </xf>
    <xf numFmtId="43" fontId="213" fillId="79" borderId="24" xfId="1" applyFont="1" applyFill="1" applyBorder="1" applyAlignment="1">
      <alignment horizontal="left" vertical="center"/>
    </xf>
    <xf numFmtId="43" fontId="214" fillId="79" borderId="24" xfId="1" applyFont="1" applyFill="1" applyBorder="1" applyAlignment="1">
      <alignment horizontal="left" vertical="center" wrapText="1"/>
    </xf>
    <xf numFmtId="0" fontId="216" fillId="79" borderId="24" xfId="0" applyFont="1" applyFill="1" applyBorder="1" applyAlignment="1">
      <alignment horizontal="center" vertical="center" wrapText="1"/>
    </xf>
    <xf numFmtId="43" fontId="216" fillId="79" borderId="24" xfId="1" applyFont="1" applyFill="1" applyBorder="1" applyAlignment="1">
      <alignment horizontal="center" vertical="center" wrapText="1"/>
    </xf>
    <xf numFmtId="43" fontId="218" fillId="79" borderId="24" xfId="1" applyFont="1" applyFill="1" applyBorder="1" applyAlignment="1">
      <alignment horizontal="center" vertical="center" wrapText="1"/>
    </xf>
    <xf numFmtId="0" fontId="217" fillId="79" borderId="24" xfId="0" applyFont="1" applyFill="1" applyBorder="1" applyAlignment="1">
      <alignment horizontal="center" vertical="center" wrapText="1"/>
    </xf>
    <xf numFmtId="0" fontId="215" fillId="78" borderId="24" xfId="0" applyFont="1" applyFill="1" applyBorder="1" applyAlignment="1">
      <alignment horizontal="center" vertical="center" wrapText="1"/>
    </xf>
    <xf numFmtId="43" fontId="213" fillId="78" borderId="24" xfId="1" applyFont="1" applyFill="1" applyBorder="1" applyAlignment="1">
      <alignment horizontal="left" vertical="center"/>
    </xf>
    <xf numFmtId="0" fontId="216" fillId="82" borderId="24" xfId="0" applyFont="1" applyFill="1" applyBorder="1" applyAlignment="1">
      <alignment horizontal="center" vertical="center" wrapText="1"/>
    </xf>
    <xf numFmtId="43" fontId="216" fillId="82" borderId="24" xfId="1" applyFont="1" applyFill="1" applyBorder="1" applyAlignment="1">
      <alignment horizontal="center" vertical="center" wrapText="1"/>
    </xf>
    <xf numFmtId="43" fontId="218" fillId="82" borderId="24" xfId="1" applyFont="1" applyFill="1" applyBorder="1" applyAlignment="1">
      <alignment horizontal="center" vertical="center" wrapText="1"/>
    </xf>
    <xf numFmtId="0" fontId="217" fillId="82" borderId="24" xfId="0" applyFont="1" applyFill="1" applyBorder="1" applyAlignment="1">
      <alignment horizontal="center" vertical="center" wrapText="1"/>
    </xf>
    <xf numFmtId="1" fontId="213" fillId="80" borderId="24" xfId="0" applyNumberFormat="1" applyFont="1" applyFill="1" applyBorder="1" applyAlignment="1">
      <alignment horizontal="center" vertical="center"/>
    </xf>
    <xf numFmtId="0" fontId="214" fillId="80" borderId="24" xfId="0" applyFont="1" applyFill="1" applyBorder="1" applyAlignment="1">
      <alignment horizontal="center" vertical="center" wrapText="1"/>
    </xf>
    <xf numFmtId="14" fontId="214" fillId="80" borderId="24" xfId="0" applyNumberFormat="1" applyFont="1" applyFill="1" applyBorder="1" applyAlignment="1">
      <alignment horizontal="center" vertical="center" wrapText="1"/>
    </xf>
    <xf numFmtId="166" fontId="213" fillId="80" borderId="24" xfId="0" applyNumberFormat="1" applyFont="1" applyFill="1" applyBorder="1" applyAlignment="1">
      <alignment horizontal="center" vertical="center" textRotation="90"/>
    </xf>
    <xf numFmtId="169" fontId="215" fillId="80" borderId="24" xfId="0" applyNumberFormat="1" applyFont="1" applyFill="1" applyBorder="1" applyAlignment="1">
      <alignment horizontal="center" vertical="center" wrapText="1"/>
    </xf>
    <xf numFmtId="166" fontId="213" fillId="80" borderId="24" xfId="0" applyNumberFormat="1" applyFont="1" applyFill="1" applyBorder="1" applyAlignment="1">
      <alignment horizontal="center" vertical="center" textRotation="90" wrapText="1"/>
    </xf>
    <xf numFmtId="43" fontId="213" fillId="80" borderId="24" xfId="1" applyFont="1" applyFill="1" applyBorder="1" applyAlignment="1">
      <alignment horizontal="left" vertical="center" wrapText="1"/>
    </xf>
    <xf numFmtId="43" fontId="214" fillId="80" borderId="24" xfId="1" applyFont="1" applyFill="1" applyBorder="1" applyAlignment="1">
      <alignment horizontal="left" vertical="center" wrapText="1"/>
    </xf>
    <xf numFmtId="0" fontId="216" fillId="80" borderId="24" xfId="0" applyFont="1" applyFill="1" applyBorder="1" applyAlignment="1">
      <alignment horizontal="center" vertical="center" wrapText="1"/>
    </xf>
    <xf numFmtId="43" fontId="216" fillId="80" borderId="24" xfId="1" applyFont="1" applyFill="1" applyBorder="1" applyAlignment="1">
      <alignment horizontal="center" vertical="center" wrapText="1"/>
    </xf>
    <xf numFmtId="43" fontId="218" fillId="80" borderId="24" xfId="1" applyFont="1" applyFill="1" applyBorder="1" applyAlignment="1">
      <alignment horizontal="center" vertical="center" wrapText="1"/>
    </xf>
    <xf numFmtId="0" fontId="217" fillId="80" borderId="24" xfId="0" applyFont="1" applyFill="1" applyBorder="1" applyAlignment="1">
      <alignment horizontal="center" vertical="center" wrapText="1"/>
    </xf>
    <xf numFmtId="1" fontId="213" fillId="81" borderId="24" xfId="1" applyNumberFormat="1" applyFont="1" applyFill="1" applyBorder="1" applyAlignment="1">
      <alignment horizontal="center" vertical="center" wrapText="1"/>
    </xf>
    <xf numFmtId="0" fontId="214" fillId="81" borderId="24" xfId="0" applyFont="1" applyFill="1" applyBorder="1" applyAlignment="1">
      <alignment horizontal="center" vertical="center" wrapText="1"/>
    </xf>
    <xf numFmtId="14" fontId="214" fillId="81" borderId="24" xfId="0" applyNumberFormat="1" applyFont="1" applyFill="1" applyBorder="1" applyAlignment="1">
      <alignment horizontal="center" vertical="center" wrapText="1"/>
    </xf>
    <xf numFmtId="166" fontId="213" fillId="81" borderId="24" xfId="0" applyNumberFormat="1" applyFont="1" applyFill="1" applyBorder="1" applyAlignment="1">
      <alignment horizontal="center" vertical="center" textRotation="90"/>
    </xf>
    <xf numFmtId="0" fontId="215" fillId="81" borderId="24" xfId="0" applyFont="1" applyFill="1" applyBorder="1" applyAlignment="1">
      <alignment horizontal="center" vertical="center" wrapText="1"/>
    </xf>
    <xf numFmtId="169" fontId="215" fillId="81" borderId="24" xfId="0" applyNumberFormat="1" applyFont="1" applyFill="1" applyBorder="1" applyAlignment="1">
      <alignment horizontal="center" vertical="center" wrapText="1"/>
    </xf>
    <xf numFmtId="166" fontId="213" fillId="81" borderId="24" xfId="0" applyNumberFormat="1" applyFont="1" applyFill="1" applyBorder="1" applyAlignment="1">
      <alignment horizontal="center" vertical="center" textRotation="90" wrapText="1"/>
    </xf>
    <xf numFmtId="43" fontId="213" fillId="81" borderId="24" xfId="1" applyFont="1" applyFill="1" applyBorder="1" applyAlignment="1">
      <alignment horizontal="left" vertical="center"/>
    </xf>
    <xf numFmtId="43" fontId="214" fillId="81" borderId="24" xfId="1" applyFont="1" applyFill="1" applyBorder="1" applyAlignment="1">
      <alignment horizontal="left" vertical="center" wrapText="1"/>
    </xf>
    <xf numFmtId="0" fontId="216" fillId="81" borderId="24" xfId="0" applyFont="1" applyFill="1" applyBorder="1" applyAlignment="1">
      <alignment horizontal="center" vertical="center" wrapText="1"/>
    </xf>
    <xf numFmtId="43" fontId="216" fillId="81" borderId="24" xfId="1" applyFont="1" applyFill="1" applyBorder="1" applyAlignment="1">
      <alignment horizontal="center" vertical="center" wrapText="1"/>
    </xf>
    <xf numFmtId="43" fontId="218" fillId="81" borderId="24" xfId="1" applyFont="1" applyFill="1" applyBorder="1" applyAlignment="1">
      <alignment horizontal="center" vertical="center" wrapText="1"/>
    </xf>
    <xf numFmtId="0" fontId="217" fillId="81" borderId="24" xfId="0" applyFont="1" applyFill="1" applyBorder="1" applyAlignment="1">
      <alignment horizontal="center" vertical="center" wrapText="1"/>
    </xf>
    <xf numFmtId="1" fontId="213" fillId="83" borderId="24" xfId="0" applyNumberFormat="1" applyFont="1" applyFill="1" applyBorder="1" applyAlignment="1">
      <alignment horizontal="center" vertical="center"/>
    </xf>
    <xf numFmtId="0" fontId="214" fillId="83" borderId="24" xfId="0" applyFont="1" applyFill="1" applyBorder="1" applyAlignment="1">
      <alignment horizontal="center" vertical="center" wrapText="1"/>
    </xf>
    <xf numFmtId="14" fontId="214" fillId="83" borderId="24" xfId="0" applyNumberFormat="1" applyFont="1" applyFill="1" applyBorder="1" applyAlignment="1">
      <alignment horizontal="center" vertical="center" wrapText="1"/>
    </xf>
    <xf numFmtId="166" fontId="213" fillId="83" borderId="24" xfId="0" applyNumberFormat="1" applyFont="1" applyFill="1" applyBorder="1" applyAlignment="1">
      <alignment horizontal="center" vertical="center" textRotation="90"/>
    </xf>
    <xf numFmtId="169" fontId="215" fillId="83" borderId="24" xfId="0" applyNumberFormat="1" applyFont="1" applyFill="1" applyBorder="1" applyAlignment="1">
      <alignment horizontal="center" vertical="center" wrapText="1"/>
    </xf>
    <xf numFmtId="166" fontId="213" fillId="83" borderId="24" xfId="0" applyNumberFormat="1" applyFont="1" applyFill="1" applyBorder="1" applyAlignment="1">
      <alignment horizontal="center" vertical="center" textRotation="90" wrapText="1"/>
    </xf>
    <xf numFmtId="43" fontId="213" fillId="83" borderId="24" xfId="1" applyFont="1" applyFill="1" applyBorder="1" applyAlignment="1">
      <alignment horizontal="left" vertical="center" wrapText="1"/>
    </xf>
    <xf numFmtId="43" fontId="214" fillId="83" borderId="24" xfId="1" applyFont="1" applyFill="1" applyBorder="1" applyAlignment="1">
      <alignment horizontal="left" vertical="center" wrapText="1"/>
    </xf>
    <xf numFmtId="0" fontId="216" fillId="83" borderId="24" xfId="0" applyFont="1" applyFill="1" applyBorder="1" applyAlignment="1">
      <alignment horizontal="center" vertical="center" wrapText="1"/>
    </xf>
    <xf numFmtId="43" fontId="216" fillId="83" borderId="24" xfId="1" applyFont="1" applyFill="1" applyBorder="1" applyAlignment="1">
      <alignment horizontal="center" vertical="center" wrapText="1"/>
    </xf>
    <xf numFmtId="43" fontId="218" fillId="83" borderId="24" xfId="1" applyFont="1" applyFill="1" applyBorder="1" applyAlignment="1">
      <alignment horizontal="center" vertical="center" wrapText="1"/>
    </xf>
    <xf numFmtId="0" fontId="217" fillId="83" borderId="24" xfId="0" applyFont="1" applyFill="1" applyBorder="1" applyAlignment="1">
      <alignment horizontal="center" vertical="center" wrapText="1"/>
    </xf>
    <xf numFmtId="0" fontId="214" fillId="82" borderId="24" xfId="0" applyFont="1" applyFill="1" applyBorder="1" applyAlignment="1">
      <alignment horizontal="center" vertical="center" wrapText="1"/>
    </xf>
    <xf numFmtId="14" fontId="214" fillId="82" borderId="24" xfId="0" applyNumberFormat="1" applyFont="1" applyFill="1" applyBorder="1" applyAlignment="1">
      <alignment horizontal="center" vertical="center" wrapText="1"/>
    </xf>
    <xf numFmtId="166" fontId="213" fillId="82" borderId="24" xfId="0" applyNumberFormat="1" applyFont="1" applyFill="1" applyBorder="1" applyAlignment="1">
      <alignment horizontal="center" vertical="center" textRotation="90"/>
    </xf>
    <xf numFmtId="0" fontId="215" fillId="82" borderId="24" xfId="0" applyFont="1" applyFill="1" applyBorder="1" applyAlignment="1">
      <alignment horizontal="center" vertical="center" wrapText="1"/>
    </xf>
    <xf numFmtId="169" fontId="215" fillId="82" borderId="24" xfId="0" applyNumberFormat="1" applyFont="1" applyFill="1" applyBorder="1" applyAlignment="1">
      <alignment horizontal="center" vertical="center" wrapText="1"/>
    </xf>
    <xf numFmtId="166" fontId="213" fillId="82" borderId="24" xfId="0" applyNumberFormat="1" applyFont="1" applyFill="1" applyBorder="1" applyAlignment="1">
      <alignment horizontal="center" vertical="center" textRotation="90" wrapText="1"/>
    </xf>
    <xf numFmtId="43" fontId="213" fillId="82" borderId="24" xfId="1" applyFont="1" applyFill="1" applyBorder="1" applyAlignment="1">
      <alignment horizontal="left" vertical="center"/>
    </xf>
    <xf numFmtId="43" fontId="214" fillId="82" borderId="24" xfId="1" applyFont="1" applyFill="1" applyBorder="1" applyAlignment="1">
      <alignment horizontal="left" vertical="center" wrapText="1"/>
    </xf>
    <xf numFmtId="1" fontId="213" fillId="71" borderId="24" xfId="1" applyNumberFormat="1" applyFont="1" applyFill="1" applyBorder="1" applyAlignment="1">
      <alignment horizontal="center" vertical="center" wrapText="1"/>
    </xf>
    <xf numFmtId="0" fontId="214" fillId="71" borderId="24" xfId="0" applyFont="1" applyFill="1" applyBorder="1" applyAlignment="1">
      <alignment horizontal="center" vertical="center" wrapText="1"/>
    </xf>
    <xf numFmtId="14" fontId="214" fillId="71" borderId="24" xfId="0" applyNumberFormat="1" applyFont="1" applyFill="1" applyBorder="1" applyAlignment="1">
      <alignment horizontal="center" vertical="center" wrapText="1"/>
    </xf>
    <xf numFmtId="43" fontId="213" fillId="71" borderId="24" xfId="1" applyFont="1" applyFill="1" applyBorder="1" applyAlignment="1">
      <alignment horizontal="left" vertical="center" wrapText="1"/>
    </xf>
    <xf numFmtId="166" fontId="213" fillId="71" borderId="24" xfId="0" applyNumberFormat="1" applyFont="1" applyFill="1" applyBorder="1" applyAlignment="1">
      <alignment horizontal="center" vertical="center" textRotation="90"/>
    </xf>
    <xf numFmtId="0" fontId="215" fillId="71" borderId="24" xfId="0" applyFont="1" applyFill="1" applyBorder="1" applyAlignment="1">
      <alignment horizontal="center" vertical="center" wrapText="1"/>
    </xf>
    <xf numFmtId="169" fontId="215" fillId="71" borderId="24" xfId="0" applyNumberFormat="1" applyFont="1" applyFill="1" applyBorder="1" applyAlignment="1">
      <alignment horizontal="center" vertical="center" wrapText="1"/>
    </xf>
    <xf numFmtId="166" fontId="213" fillId="71" borderId="24" xfId="0" applyNumberFormat="1" applyFont="1" applyFill="1" applyBorder="1" applyAlignment="1">
      <alignment horizontal="center" vertical="center" textRotation="90" wrapText="1"/>
    </xf>
    <xf numFmtId="43" fontId="213" fillId="71" borderId="24" xfId="1" applyFont="1" applyFill="1" applyBorder="1" applyAlignment="1">
      <alignment horizontal="left" vertical="center"/>
    </xf>
    <xf numFmtId="43" fontId="214" fillId="71" borderId="24" xfId="1" applyFont="1" applyFill="1" applyBorder="1" applyAlignment="1">
      <alignment horizontal="left" vertical="center" wrapText="1"/>
    </xf>
    <xf numFmtId="0" fontId="216" fillId="71" borderId="24" xfId="0" applyFont="1" applyFill="1" applyBorder="1" applyAlignment="1">
      <alignment horizontal="center" vertical="center" wrapText="1"/>
    </xf>
    <xf numFmtId="43" fontId="216" fillId="71" borderId="24" xfId="1" applyFont="1" applyFill="1" applyBorder="1" applyAlignment="1">
      <alignment horizontal="center" vertical="center" wrapText="1"/>
    </xf>
    <xf numFmtId="43" fontId="218" fillId="71" borderId="24" xfId="1" applyFont="1" applyFill="1" applyBorder="1" applyAlignment="1">
      <alignment horizontal="center" vertical="center" wrapText="1"/>
    </xf>
    <xf numFmtId="0" fontId="217" fillId="71" borderId="24" xfId="0" applyFont="1" applyFill="1" applyBorder="1" applyAlignment="1">
      <alignment horizontal="center" vertical="center" wrapText="1"/>
    </xf>
    <xf numFmtId="0" fontId="221" fillId="72" borderId="24" xfId="0" applyFont="1" applyFill="1" applyBorder="1" applyAlignment="1">
      <alignment horizontal="left" vertical="center" wrapText="1"/>
    </xf>
    <xf numFmtId="43" fontId="221" fillId="73" borderId="24" xfId="1" applyFont="1" applyFill="1" applyBorder="1" applyAlignment="1">
      <alignment horizontal="left" vertical="center" wrapText="1"/>
    </xf>
    <xf numFmtId="0" fontId="221" fillId="74" borderId="24" xfId="0" applyFont="1" applyFill="1" applyBorder="1" applyAlignment="1">
      <alignment horizontal="left" vertical="center" wrapText="1"/>
    </xf>
    <xf numFmtId="43" fontId="221" fillId="75" borderId="24" xfId="1" applyFont="1" applyFill="1" applyBorder="1" applyAlignment="1">
      <alignment horizontal="left" vertical="center" wrapText="1"/>
    </xf>
    <xf numFmtId="0" fontId="221" fillId="76" borderId="24" xfId="0" applyFont="1" applyFill="1" applyBorder="1" applyAlignment="1">
      <alignment horizontal="left" vertical="center" wrapText="1"/>
    </xf>
    <xf numFmtId="43" fontId="221" fillId="77" borderId="24" xfId="1" applyFont="1" applyFill="1" applyBorder="1" applyAlignment="1">
      <alignment horizontal="left" vertical="center" wrapText="1"/>
    </xf>
    <xf numFmtId="0" fontId="221" fillId="78" borderId="24" xfId="0" applyFont="1" applyFill="1" applyBorder="1" applyAlignment="1">
      <alignment horizontal="left" vertical="center" wrapText="1"/>
    </xf>
    <xf numFmtId="43" fontId="221" fillId="79" borderId="24" xfId="1" applyFont="1" applyFill="1" applyBorder="1" applyAlignment="1">
      <alignment horizontal="left" vertical="center" wrapText="1"/>
    </xf>
    <xf numFmtId="0" fontId="221" fillId="79" borderId="24" xfId="0" applyFont="1" applyFill="1" applyBorder="1" applyAlignment="1">
      <alignment horizontal="left" vertical="center" wrapText="1"/>
    </xf>
    <xf numFmtId="43" fontId="221" fillId="78" borderId="24" xfId="1" applyFont="1" applyFill="1" applyBorder="1" applyAlignment="1">
      <alignment horizontal="left" vertical="center" wrapText="1"/>
    </xf>
    <xf numFmtId="0" fontId="221" fillId="80" borderId="24" xfId="0" applyFont="1" applyFill="1" applyBorder="1" applyAlignment="1">
      <alignment horizontal="left" vertical="center" wrapText="1"/>
    </xf>
    <xf numFmtId="43" fontId="221" fillId="81" borderId="24" xfId="1" applyFont="1" applyFill="1" applyBorder="1" applyAlignment="1">
      <alignment horizontal="left" vertical="center" wrapText="1"/>
    </xf>
    <xf numFmtId="43" fontId="221" fillId="82" borderId="24" xfId="1" applyFont="1" applyFill="1" applyBorder="1" applyAlignment="1">
      <alignment horizontal="left" vertical="center" wrapText="1"/>
    </xf>
    <xf numFmtId="0" fontId="221" fillId="83" borderId="24" xfId="0" applyFont="1" applyFill="1" applyBorder="1" applyAlignment="1">
      <alignment horizontal="left" vertical="center" wrapText="1"/>
    </xf>
    <xf numFmtId="43" fontId="105" fillId="2" borderId="0" xfId="1" applyFont="1" applyFill="1"/>
    <xf numFmtId="43" fontId="223" fillId="2" borderId="0" xfId="1" applyFont="1" applyFill="1"/>
    <xf numFmtId="43" fontId="222" fillId="2" borderId="0" xfId="10" applyNumberFormat="1" applyFont="1" applyFill="1"/>
    <xf numFmtId="170" fontId="222" fillId="2" borderId="0" xfId="10" applyNumberFormat="1" applyFont="1" applyFill="1"/>
    <xf numFmtId="43" fontId="224" fillId="0" borderId="0" xfId="1" applyFont="1"/>
    <xf numFmtId="0" fontId="226" fillId="38" borderId="24" xfId="0" applyFont="1" applyFill="1" applyBorder="1" applyAlignment="1">
      <alignment horizontal="center" vertical="center" wrapText="1"/>
    </xf>
    <xf numFmtId="0" fontId="196" fillId="38" borderId="24" xfId="0" applyFont="1" applyFill="1" applyBorder="1" applyAlignment="1">
      <alignment horizontal="center" vertical="center" wrapText="1"/>
    </xf>
    <xf numFmtId="0" fontId="196" fillId="4" borderId="24" xfId="0" applyFont="1" applyFill="1" applyBorder="1" applyAlignment="1">
      <alignment horizontal="center" vertical="center" wrapText="1"/>
    </xf>
    <xf numFmtId="0" fontId="196" fillId="0" borderId="24" xfId="0" applyFont="1" applyBorder="1" applyAlignment="1">
      <alignment horizontal="center" vertical="center" wrapText="1"/>
    </xf>
    <xf numFmtId="0" fontId="196" fillId="39" borderId="24" xfId="0" applyFont="1" applyFill="1" applyBorder="1" applyAlignment="1">
      <alignment horizontal="center" vertical="center" wrapText="1"/>
    </xf>
    <xf numFmtId="0" fontId="227" fillId="4" borderId="24" xfId="0" applyFont="1" applyFill="1" applyBorder="1" applyAlignment="1">
      <alignment horizontal="center" vertical="center" wrapText="1"/>
    </xf>
    <xf numFmtId="0" fontId="192" fillId="4" borderId="0" xfId="0" applyFont="1" applyFill="1" applyAlignment="1">
      <alignment horizontal="left" vertical="center" wrapText="1"/>
    </xf>
    <xf numFmtId="0" fontId="216" fillId="72" borderId="24" xfId="0" applyFont="1" applyFill="1" applyBorder="1" applyAlignment="1">
      <alignment horizontal="left" vertical="center" wrapText="1"/>
    </xf>
    <xf numFmtId="0" fontId="216" fillId="73" borderId="24" xfId="0" applyFont="1" applyFill="1" applyBorder="1" applyAlignment="1">
      <alignment horizontal="left" vertical="center" wrapText="1"/>
    </xf>
    <xf numFmtId="0" fontId="216" fillId="74" borderId="24" xfId="0" applyFont="1" applyFill="1" applyBorder="1" applyAlignment="1">
      <alignment horizontal="left" vertical="center" wrapText="1"/>
    </xf>
    <xf numFmtId="0" fontId="216" fillId="75" borderId="24" xfId="0" applyFont="1" applyFill="1" applyBorder="1" applyAlignment="1">
      <alignment horizontal="left" vertical="center" wrapText="1"/>
    </xf>
    <xf numFmtId="0" fontId="216" fillId="76" borderId="24" xfId="0" applyFont="1" applyFill="1" applyBorder="1" applyAlignment="1">
      <alignment horizontal="left" vertical="center" wrapText="1"/>
    </xf>
    <xf numFmtId="0" fontId="216" fillId="77" borderId="24" xfId="0" applyFont="1" applyFill="1" applyBorder="1" applyAlignment="1">
      <alignment horizontal="left" vertical="center" wrapText="1"/>
    </xf>
    <xf numFmtId="0" fontId="216" fillId="78" borderId="24" xfId="0" applyFont="1" applyFill="1" applyBorder="1" applyAlignment="1">
      <alignment horizontal="left" vertical="center" wrapText="1"/>
    </xf>
    <xf numFmtId="0" fontId="216" fillId="79" borderId="24" xfId="0" applyFont="1" applyFill="1" applyBorder="1" applyAlignment="1">
      <alignment horizontal="left" vertical="center" wrapText="1"/>
    </xf>
    <xf numFmtId="0" fontId="220" fillId="79" borderId="24" xfId="0" applyFont="1" applyFill="1" applyBorder="1" applyAlignment="1">
      <alignment horizontal="left" vertical="center" wrapText="1"/>
    </xf>
    <xf numFmtId="0" fontId="216" fillId="78" borderId="0" xfId="0" applyFont="1" applyFill="1" applyAlignment="1">
      <alignment horizontal="left" vertical="center" wrapText="1"/>
    </xf>
    <xf numFmtId="0" fontId="216" fillId="82" borderId="24" xfId="0" applyFont="1" applyFill="1" applyBorder="1" applyAlignment="1">
      <alignment horizontal="left" vertical="center" wrapText="1"/>
    </xf>
    <xf numFmtId="0" fontId="216" fillId="80" borderId="24" xfId="0" applyFont="1" applyFill="1" applyBorder="1" applyAlignment="1">
      <alignment horizontal="left" vertical="center" wrapText="1"/>
    </xf>
    <xf numFmtId="0" fontId="216" fillId="81" borderId="24" xfId="0" applyFont="1" applyFill="1" applyBorder="1" applyAlignment="1">
      <alignment horizontal="left" vertical="center" wrapText="1"/>
    </xf>
    <xf numFmtId="0" fontId="216" fillId="71" borderId="92" xfId="0" applyFont="1" applyFill="1" applyBorder="1" applyAlignment="1">
      <alignment horizontal="left" vertical="center" wrapText="1"/>
    </xf>
    <xf numFmtId="0" fontId="208" fillId="31" borderId="24" xfId="0" applyFont="1" applyFill="1" applyBorder="1" applyAlignment="1">
      <alignment horizontal="left" vertical="center"/>
    </xf>
    <xf numFmtId="0" fontId="196" fillId="0" borderId="0" xfId="0" applyFont="1" applyAlignment="1">
      <alignment horizontal="left" vertical="center"/>
    </xf>
    <xf numFmtId="0" fontId="228" fillId="31" borderId="24" xfId="0" applyFont="1" applyFill="1" applyBorder="1" applyAlignment="1">
      <alignment horizontal="center" vertical="center" wrapText="1"/>
    </xf>
    <xf numFmtId="14" fontId="228" fillId="31" borderId="24" xfId="0" applyNumberFormat="1" applyFont="1" applyFill="1" applyBorder="1" applyAlignment="1">
      <alignment horizontal="center" vertical="center" wrapText="1"/>
    </xf>
    <xf numFmtId="166" fontId="228" fillId="31" borderId="24" xfId="0" applyNumberFormat="1" applyFont="1" applyFill="1" applyBorder="1" applyAlignment="1">
      <alignment horizontal="center" vertical="center" textRotation="90"/>
    </xf>
    <xf numFmtId="43" fontId="228" fillId="31" borderId="24" xfId="1" applyFont="1" applyFill="1" applyBorder="1" applyAlignment="1">
      <alignment horizontal="center" vertical="center" wrapText="1"/>
    </xf>
    <xf numFmtId="0" fontId="229" fillId="20" borderId="24" xfId="0" applyFont="1" applyFill="1" applyBorder="1" applyAlignment="1">
      <alignment horizontal="center" vertical="center" wrapText="1"/>
    </xf>
    <xf numFmtId="0" fontId="230" fillId="20" borderId="24" xfId="0" applyFont="1" applyFill="1" applyBorder="1" applyAlignment="1">
      <alignment horizontal="center" vertical="center" wrapText="1"/>
    </xf>
    <xf numFmtId="0" fontId="230" fillId="20" borderId="0" xfId="0" applyFont="1" applyFill="1" applyAlignment="1">
      <alignment horizontal="center" vertical="center" wrapText="1"/>
    </xf>
    <xf numFmtId="0" fontId="229" fillId="32" borderId="0" xfId="0" applyFont="1" applyFill="1" applyAlignment="1">
      <alignment horizontal="center" vertical="center"/>
    </xf>
    <xf numFmtId="0" fontId="229" fillId="32" borderId="24" xfId="0" applyFont="1" applyFill="1" applyBorder="1" applyAlignment="1">
      <alignment horizontal="center" vertical="center" wrapText="1"/>
    </xf>
    <xf numFmtId="0" fontId="231" fillId="30" borderId="0" xfId="0" applyFont="1" applyFill="1" applyAlignment="1">
      <alignment horizontal="center" vertical="center"/>
    </xf>
    <xf numFmtId="10" fontId="225" fillId="85" borderId="93" xfId="0" applyNumberFormat="1" applyFont="1" applyFill="1" applyBorder="1" applyAlignment="1">
      <alignment horizontal="left" vertical="center" wrapText="1"/>
    </xf>
    <xf numFmtId="0" fontId="232" fillId="83" borderId="24" xfId="0" applyFont="1" applyFill="1" applyBorder="1" applyAlignment="1">
      <alignment horizontal="left" vertical="center" wrapText="1"/>
    </xf>
    <xf numFmtId="43" fontId="232" fillId="82" borderId="24" xfId="1" applyFont="1" applyFill="1" applyBorder="1" applyAlignment="1">
      <alignment horizontal="left" vertical="center" wrapText="1"/>
    </xf>
    <xf numFmtId="0" fontId="233" fillId="48" borderId="83" xfId="10" applyFont="1" applyFill="1" applyBorder="1" applyAlignment="1">
      <alignment horizontal="center" vertical="center" wrapText="1"/>
    </xf>
    <xf numFmtId="43" fontId="233" fillId="4" borderId="84" xfId="1" applyFont="1" applyFill="1" applyBorder="1" applyAlignment="1">
      <alignment horizontal="right" vertical="center"/>
    </xf>
    <xf numFmtId="43" fontId="212" fillId="4" borderId="84" xfId="1" applyFont="1" applyFill="1" applyBorder="1" applyAlignment="1">
      <alignment vertical="center"/>
    </xf>
    <xf numFmtId="0" fontId="233" fillId="52" borderId="83" xfId="10" applyFont="1" applyFill="1" applyBorder="1" applyAlignment="1">
      <alignment horizontal="center" vertical="center" wrapText="1"/>
    </xf>
    <xf numFmtId="43" fontId="233" fillId="2" borderId="84" xfId="1" applyFont="1" applyFill="1" applyBorder="1" applyAlignment="1">
      <alignment horizontal="right" vertical="center"/>
    </xf>
    <xf numFmtId="43" fontId="212" fillId="2" borderId="84" xfId="1" applyFont="1" applyFill="1" applyBorder="1" applyAlignment="1">
      <alignment vertical="center"/>
    </xf>
    <xf numFmtId="40" fontId="212" fillId="4" borderId="84" xfId="10" applyNumberFormat="1" applyFont="1" applyFill="1" applyBorder="1" applyAlignment="1">
      <alignment vertical="center"/>
    </xf>
    <xf numFmtId="43" fontId="233" fillId="4" borderId="84" xfId="10" applyNumberFormat="1" applyFont="1" applyFill="1" applyBorder="1" applyAlignment="1">
      <alignment vertical="center"/>
    </xf>
    <xf numFmtId="40" fontId="212" fillId="2" borderId="84" xfId="10" applyNumberFormat="1" applyFont="1" applyFill="1" applyBorder="1" applyAlignment="1">
      <alignment vertical="center"/>
    </xf>
    <xf numFmtId="43" fontId="233" fillId="2" borderId="84" xfId="10" applyNumberFormat="1" applyFont="1" applyFill="1" applyBorder="1" applyAlignment="1">
      <alignment vertical="center"/>
    </xf>
    <xf numFmtId="173" fontId="212" fillId="2" borderId="84" xfId="11" applyNumberFormat="1" applyFont="1" applyFill="1" applyBorder="1" applyAlignment="1">
      <alignment horizontal="center" vertical="center" wrapText="1"/>
    </xf>
    <xf numFmtId="14" fontId="212" fillId="2" borderId="84" xfId="19" applyNumberFormat="1" applyFont="1" applyFill="1" applyBorder="1" applyAlignment="1">
      <alignment horizontal="center" vertical="center"/>
    </xf>
    <xf numFmtId="14" fontId="234" fillId="2" borderId="84" xfId="19" applyNumberFormat="1" applyFont="1" applyFill="1" applyBorder="1" applyAlignment="1">
      <alignment horizontal="center" vertical="center" wrapText="1"/>
    </xf>
    <xf numFmtId="14" fontId="212" fillId="4" borderId="84" xfId="19" applyNumberFormat="1" applyFont="1" applyFill="1" applyBorder="1" applyAlignment="1">
      <alignment horizontal="center" vertical="center"/>
    </xf>
    <xf numFmtId="14" fontId="234" fillId="4" borderId="84" xfId="19" applyNumberFormat="1" applyFont="1" applyFill="1" applyBorder="1" applyAlignment="1">
      <alignment horizontal="center" vertical="center" wrapText="1"/>
    </xf>
    <xf numFmtId="43" fontId="212" fillId="4" borderId="84" xfId="10" applyNumberFormat="1" applyFont="1" applyFill="1" applyBorder="1" applyAlignment="1">
      <alignment vertical="center"/>
    </xf>
    <xf numFmtId="43" fontId="90" fillId="48" borderId="78" xfId="1" applyFont="1" applyFill="1" applyBorder="1" applyAlignment="1">
      <alignment horizontal="right" vertical="center"/>
    </xf>
    <xf numFmtId="43" fontId="90" fillId="48" borderId="73" xfId="1" applyFont="1" applyFill="1" applyBorder="1" applyAlignment="1">
      <alignment horizontal="right" vertical="center"/>
    </xf>
    <xf numFmtId="43" fontId="92" fillId="4" borderId="73" xfId="1" applyFont="1" applyFill="1" applyBorder="1" applyAlignment="1">
      <alignment horizontal="right" vertical="center"/>
    </xf>
    <xf numFmtId="43" fontId="92" fillId="2" borderId="84" xfId="1" applyFont="1" applyFill="1" applyBorder="1" applyAlignment="1">
      <alignment horizontal="right" vertical="center"/>
    </xf>
    <xf numFmtId="43" fontId="92" fillId="4" borderId="84" xfId="1" applyFont="1" applyFill="1" applyBorder="1" applyAlignment="1">
      <alignment horizontal="right" vertical="center"/>
    </xf>
    <xf numFmtId="43" fontId="212" fillId="4" borderId="84" xfId="1" applyFont="1" applyFill="1" applyBorder="1" applyAlignment="1">
      <alignment horizontal="right" vertical="center"/>
    </xf>
    <xf numFmtId="43" fontId="212" fillId="2" borderId="84" xfId="1" applyFont="1" applyFill="1" applyBorder="1" applyAlignment="1">
      <alignment horizontal="right" vertical="center"/>
    </xf>
    <xf numFmtId="0" fontId="235" fillId="83" borderId="24" xfId="0" applyFont="1" applyFill="1" applyBorder="1" applyAlignment="1">
      <alignment horizontal="left" vertical="center" wrapText="1"/>
    </xf>
    <xf numFmtId="43" fontId="235" fillId="82" borderId="24" xfId="1" applyFont="1" applyFill="1" applyBorder="1" applyAlignment="1">
      <alignment horizontal="left" vertical="center" wrapText="1"/>
    </xf>
    <xf numFmtId="0" fontId="236" fillId="78" borderId="24" xfId="0" applyFont="1" applyFill="1" applyBorder="1" applyAlignment="1">
      <alignment horizontal="left" vertical="center" wrapText="1"/>
    </xf>
    <xf numFmtId="0" fontId="237" fillId="78" borderId="24" xfId="0" applyFont="1" applyFill="1" applyBorder="1" applyAlignment="1">
      <alignment horizontal="left" vertical="center" wrapText="1"/>
    </xf>
    <xf numFmtId="0" fontId="238" fillId="78" borderId="24" xfId="0" applyFont="1" applyFill="1" applyBorder="1" applyAlignment="1">
      <alignment horizontal="center" vertical="center" wrapText="1"/>
    </xf>
    <xf numFmtId="14" fontId="238" fillId="78" borderId="24" xfId="0" applyNumberFormat="1" applyFont="1" applyFill="1" applyBorder="1" applyAlignment="1">
      <alignment horizontal="center" vertical="center" wrapText="1"/>
    </xf>
    <xf numFmtId="0" fontId="199" fillId="0" borderId="0" xfId="0" applyFont="1" applyAlignment="1">
      <alignment horizontal="center" vertical="center"/>
    </xf>
    <xf numFmtId="0" fontId="201" fillId="0" borderId="0" xfId="0" applyFont="1" applyAlignment="1">
      <alignment vertical="center"/>
    </xf>
    <xf numFmtId="43" fontId="200" fillId="0" borderId="0" xfId="1" applyFont="1" applyAlignment="1">
      <alignment horizontal="center" vertical="center"/>
    </xf>
    <xf numFmtId="167" fontId="191" fillId="4" borderId="0" xfId="0" applyNumberFormat="1" applyFont="1" applyFill="1" applyAlignment="1">
      <alignment horizontal="left" vertical="center"/>
    </xf>
    <xf numFmtId="0" fontId="192" fillId="4" borderId="0" xfId="14" applyFont="1" applyFill="1" applyAlignment="1">
      <alignment horizontal="left" vertical="center"/>
    </xf>
    <xf numFmtId="43" fontId="202" fillId="33" borderId="23" xfId="0" applyNumberFormat="1" applyFont="1" applyFill="1" applyBorder="1" applyAlignment="1">
      <alignment horizontal="center" vertical="center"/>
    </xf>
    <xf numFmtId="0" fontId="203" fillId="33" borderId="23" xfId="0" applyFont="1" applyFill="1" applyBorder="1" applyAlignment="1">
      <alignment vertical="center"/>
    </xf>
    <xf numFmtId="0" fontId="197" fillId="20" borderId="70" xfId="0" applyFont="1" applyFill="1" applyBorder="1" applyAlignment="1">
      <alignment horizontal="center" vertical="center" wrapText="1"/>
    </xf>
    <xf numFmtId="0" fontId="197" fillId="20" borderId="0" xfId="0" applyFont="1" applyFill="1" applyAlignment="1">
      <alignment horizontal="center" vertical="center" wrapText="1"/>
    </xf>
    <xf numFmtId="43" fontId="198" fillId="70" borderId="0" xfId="20" applyNumberFormat="1" applyFont="1" applyFill="1" applyAlignment="1">
      <alignment horizontal="center" vertical="center"/>
    </xf>
    <xf numFmtId="176" fontId="162" fillId="64" borderId="65" xfId="0" applyNumberFormat="1" applyFont="1" applyFill="1" applyBorder="1" applyAlignment="1">
      <alignment horizontal="center" vertical="center"/>
    </xf>
    <xf numFmtId="0" fontId="55" fillId="3" borderId="0" xfId="0" applyFont="1" applyFill="1" applyAlignment="1">
      <alignment horizontal="left" vertical="center"/>
    </xf>
    <xf numFmtId="0" fontId="212" fillId="2" borderId="84" xfId="10" applyFont="1" applyFill="1" applyBorder="1" applyAlignment="1">
      <alignment horizontal="center" vertical="center" wrapText="1"/>
    </xf>
    <xf numFmtId="0" fontId="1" fillId="0" borderId="84" xfId="0" applyFont="1" applyBorder="1"/>
    <xf numFmtId="0" fontId="212" fillId="4" borderId="94" xfId="10" applyFont="1" applyFill="1" applyBorder="1" applyAlignment="1">
      <alignment horizontal="center" vertical="center" wrapText="1"/>
    </xf>
    <xf numFmtId="0" fontId="212" fillId="4" borderId="95" xfId="10" applyFont="1" applyFill="1" applyBorder="1" applyAlignment="1">
      <alignment horizontal="center" vertical="center" wrapText="1"/>
    </xf>
    <xf numFmtId="0" fontId="76" fillId="3" borderId="89" xfId="10" applyFont="1" applyFill="1" applyBorder="1" applyAlignment="1">
      <alignment horizontal="center" vertical="center"/>
    </xf>
    <xf numFmtId="0" fontId="0" fillId="0" borderId="90" xfId="0" applyBorder="1"/>
    <xf numFmtId="174" fontId="76" fillId="3" borderId="90" xfId="10" applyNumberFormat="1" applyFont="1" applyFill="1" applyBorder="1" applyAlignment="1">
      <alignment horizontal="center" vertical="center"/>
    </xf>
    <xf numFmtId="0" fontId="0" fillId="0" borderId="91" xfId="0" applyBorder="1"/>
    <xf numFmtId="0" fontId="233" fillId="2" borderId="84" xfId="10" applyFont="1" applyFill="1" applyBorder="1" applyAlignment="1">
      <alignment horizontal="center" vertical="center" wrapText="1"/>
    </xf>
    <xf numFmtId="0" fontId="0" fillId="0" borderId="84" xfId="0" applyBorder="1"/>
    <xf numFmtId="0" fontId="233" fillId="4" borderId="94" xfId="10" applyFont="1" applyFill="1" applyBorder="1" applyAlignment="1">
      <alignment horizontal="center" vertical="center" wrapText="1"/>
    </xf>
    <xf numFmtId="0" fontId="233" fillId="4" borderId="95" xfId="10" applyFont="1" applyFill="1" applyBorder="1" applyAlignment="1">
      <alignment horizontal="center" vertical="center" wrapText="1"/>
    </xf>
    <xf numFmtId="0" fontId="87" fillId="3" borderId="71" xfId="10" applyFont="1" applyFill="1" applyBorder="1" applyAlignment="1">
      <alignment horizontal="center" vertical="center" wrapText="1"/>
    </xf>
    <xf numFmtId="0" fontId="0" fillId="0" borderId="76" xfId="0" applyBorder="1"/>
    <xf numFmtId="43" fontId="87" fillId="49" borderId="74" xfId="1" applyFont="1" applyFill="1" applyBorder="1" applyAlignment="1">
      <alignment horizontal="center" vertical="center" wrapText="1"/>
    </xf>
    <xf numFmtId="0" fontId="0" fillId="0" borderId="78" xfId="0" applyBorder="1"/>
    <xf numFmtId="43" fontId="87" fillId="3" borderId="74" xfId="10" applyNumberFormat="1" applyFont="1" applyFill="1" applyBorder="1" applyAlignment="1">
      <alignment horizontal="center" vertical="center" wrapText="1"/>
    </xf>
    <xf numFmtId="0" fontId="212" fillId="4" borderId="84" xfId="10" applyFont="1" applyFill="1" applyBorder="1" applyAlignment="1">
      <alignment horizontal="center" vertical="center" wrapText="1"/>
    </xf>
    <xf numFmtId="170" fontId="87" fillId="3" borderId="72" xfId="10" applyNumberFormat="1" applyFont="1" applyFill="1" applyBorder="1" applyAlignment="1">
      <alignment horizontal="center" vertical="center" wrapText="1"/>
    </xf>
    <xf numFmtId="0" fontId="0" fillId="0" borderId="77" xfId="0" applyBorder="1"/>
    <xf numFmtId="170" fontId="87" fillId="3" borderId="74" xfId="10" applyNumberFormat="1" applyFont="1" applyFill="1" applyBorder="1" applyAlignment="1">
      <alignment horizontal="center" vertical="center" wrapText="1"/>
    </xf>
    <xf numFmtId="0" fontId="87" fillId="3" borderId="72" xfId="10" applyFont="1" applyFill="1" applyBorder="1" applyAlignment="1">
      <alignment horizontal="center" vertical="center" wrapText="1"/>
    </xf>
    <xf numFmtId="0" fontId="0" fillId="0" borderId="73" xfId="0" applyBorder="1"/>
    <xf numFmtId="14" fontId="87" fillId="3" borderId="74" xfId="10" applyNumberFormat="1" applyFont="1" applyFill="1" applyBorder="1" applyAlignment="1">
      <alignment horizontal="center" vertical="center" wrapText="1"/>
    </xf>
    <xf numFmtId="170" fontId="87" fillId="8" borderId="74" xfId="10" applyNumberFormat="1" applyFont="1" applyFill="1" applyBorder="1" applyAlignment="1">
      <alignment horizontal="center" vertical="center" wrapText="1"/>
    </xf>
    <xf numFmtId="10" fontId="0" fillId="0" borderId="78" xfId="0" applyNumberFormat="1" applyBorder="1"/>
    <xf numFmtId="170" fontId="87" fillId="50" borderId="72" xfId="10" applyNumberFormat="1" applyFont="1" applyFill="1" applyBorder="1" applyAlignment="1">
      <alignment horizontal="center" vertical="center" wrapText="1"/>
    </xf>
    <xf numFmtId="0" fontId="45" fillId="8" borderId="27" xfId="10" applyFont="1" applyFill="1" applyBorder="1" applyAlignment="1">
      <alignment horizontal="center" vertical="center"/>
    </xf>
    <xf numFmtId="0" fontId="0" fillId="0" borderId="27" xfId="0" applyBorder="1"/>
    <xf numFmtId="0" fontId="62" fillId="42" borderId="0" xfId="10" applyFont="1" applyFill="1" applyAlignment="1">
      <alignment horizontal="center" vertical="center"/>
    </xf>
    <xf numFmtId="0" fontId="47" fillId="41" borderId="0" xfId="10" applyFont="1" applyFill="1" applyAlignment="1">
      <alignment vertical="top"/>
    </xf>
    <xf numFmtId="43" fontId="69" fillId="10" borderId="0" xfId="1" applyFont="1" applyFill="1" applyAlignment="1">
      <alignment horizontal="center" vertical="center"/>
    </xf>
    <xf numFmtId="0" fontId="48" fillId="41" borderId="0" xfId="10" applyFont="1" applyFill="1" applyAlignment="1">
      <alignment vertical="center"/>
    </xf>
    <xf numFmtId="43" fontId="69" fillId="43" borderId="0" xfId="1" applyFont="1" applyFill="1" applyAlignment="1">
      <alignment horizontal="center" vertical="center"/>
    </xf>
    <xf numFmtId="0" fontId="64" fillId="3" borderId="35" xfId="10" applyFont="1" applyFill="1" applyBorder="1" applyAlignment="1">
      <alignment horizontal="center" vertical="center"/>
    </xf>
    <xf numFmtId="0" fontId="0" fillId="0" borderId="32" xfId="0" applyBorder="1"/>
    <xf numFmtId="0" fontId="0" fillId="0" borderId="33" xfId="0" applyBorder="1"/>
    <xf numFmtId="0" fontId="34" fillId="28" borderId="0" xfId="0" applyFont="1" applyFill="1" applyAlignment="1">
      <alignment horizontal="center"/>
    </xf>
    <xf numFmtId="0" fontId="0" fillId="0" borderId="0" xfId="0"/>
    <xf numFmtId="43" fontId="36" fillId="20" borderId="0" xfId="1" applyFont="1" applyFill="1" applyAlignment="1">
      <alignment horizontal="center" vertical="center"/>
    </xf>
    <xf numFmtId="43" fontId="34" fillId="18" borderId="0" xfId="1" applyFont="1" applyFill="1" applyAlignment="1">
      <alignment horizontal="center"/>
    </xf>
    <xf numFmtId="43" fontId="33" fillId="22" borderId="0" xfId="1" applyFont="1" applyFill="1" applyAlignment="1">
      <alignment horizontal="center"/>
    </xf>
    <xf numFmtId="43" fontId="37" fillId="23" borderId="0" xfId="1" applyFont="1" applyFill="1" applyAlignment="1">
      <alignment horizontal="center" vertical="center"/>
    </xf>
    <xf numFmtId="43" fontId="37" fillId="25" borderId="0" xfId="1" applyFont="1" applyFill="1" applyAlignment="1">
      <alignment horizontal="center"/>
    </xf>
    <xf numFmtId="43" fontId="33" fillId="26" borderId="0" xfId="1" applyFont="1" applyFill="1" applyAlignment="1">
      <alignment horizontal="center"/>
    </xf>
    <xf numFmtId="0" fontId="232" fillId="83" borderId="92" xfId="0" applyFont="1" applyFill="1" applyBorder="1" applyAlignment="1">
      <alignment horizontal="left" vertical="center" wrapText="1"/>
    </xf>
  </cellXfs>
  <cellStyles count="21">
    <cellStyle name="Accent1" xfId="20" builtinId="29"/>
    <cellStyle name="Comma" xfId="1" builtinId="3"/>
    <cellStyle name="Comma 2" xfId="4" xr:uid="{00000000-0005-0000-0000-000031000000}"/>
    <cellStyle name="Comma 20 2 2" xfId="5" xr:uid="{00000000-0005-0000-0000-000032000000}"/>
    <cellStyle name="Comma 3" xfId="6" xr:uid="{00000000-0005-0000-0000-000033000000}"/>
    <cellStyle name="Comma 4 3 3" xfId="7" xr:uid="{00000000-0005-0000-0000-000034000000}"/>
    <cellStyle name="Comma 6" xfId="8" xr:uid="{00000000-0005-0000-0000-000035000000}"/>
    <cellStyle name="Comma 8 2" xfId="9" xr:uid="{00000000-0005-0000-0000-000036000000}"/>
    <cellStyle name="Hyperlink" xfId="3" builtinId="8"/>
    <cellStyle name="Normal" xfId="0" builtinId="0"/>
    <cellStyle name="Normal 100 2 2" xfId="10" xr:uid="{00000000-0005-0000-0000-000037000000}"/>
    <cellStyle name="Normal 100 2 2 2" xfId="11" xr:uid="{00000000-0005-0000-0000-000038000000}"/>
    <cellStyle name="Normal 2 2" xfId="12" xr:uid="{00000000-0005-0000-0000-000039000000}"/>
    <cellStyle name="Normal 2 3 2" xfId="13" xr:uid="{00000000-0005-0000-0000-00003A000000}"/>
    <cellStyle name="Normal 26 3 2 7 2" xfId="14" xr:uid="{00000000-0005-0000-0000-00003B000000}"/>
    <cellStyle name="Normal 26 3 2 7 2 2" xfId="15" xr:uid="{00000000-0005-0000-0000-00003C000000}"/>
    <cellStyle name="Normal 5 2" xfId="16" xr:uid="{00000000-0005-0000-0000-00003D000000}"/>
    <cellStyle name="Normal 5 4 2 19 2 2" xfId="17" xr:uid="{00000000-0005-0000-0000-00003E000000}"/>
    <cellStyle name="Percent" xfId="2" builtinId="5"/>
    <cellStyle name="Percent 4 2" xfId="18" xr:uid="{00000000-0005-0000-0000-00003F000000}"/>
    <cellStyle name="Percent 5 2" xfId="19" xr:uid="{00000000-0005-0000-0000-000040000000}"/>
  </cellStyles>
  <dxfs count="19">
    <dxf>
      <fill>
        <patternFill>
          <bgColor rgb="FF92D050"/>
        </patternFill>
      </fill>
    </dxf>
    <dxf>
      <font>
        <b/>
        <color theme="0"/>
      </font>
      <fill>
        <patternFill patternType="solid">
          <bgColor rgb="FF06B050"/>
        </patternFill>
      </fill>
    </dxf>
    <dxf>
      <font>
        <b/>
        <i val="0"/>
        <color theme="1"/>
      </font>
      <fill>
        <patternFill patternType="solid">
          <bgColor rgb="FF2EBAAF"/>
        </patternFill>
      </fill>
    </dxf>
    <dxf>
      <font>
        <b/>
        <i val="0"/>
        <color theme="1"/>
      </font>
      <fill>
        <patternFill patternType="solid">
          <bgColor rgb="FFF2BA02"/>
        </patternFill>
      </fill>
    </dxf>
    <dxf>
      <font>
        <b/>
        <i val="0"/>
        <color theme="1"/>
      </font>
      <fill>
        <patternFill patternType="solid">
          <bgColor rgb="FFAD9142"/>
        </patternFill>
      </fill>
    </dxf>
    <dxf>
      <font>
        <b/>
        <i val="0"/>
        <color theme="1"/>
      </font>
      <fill>
        <patternFill patternType="solid">
          <bgColor rgb="FFEF812E"/>
        </patternFill>
      </fill>
    </dxf>
    <dxf>
      <font>
        <b/>
        <color theme="0"/>
      </font>
      <fill>
        <patternFill patternType="solid">
          <bgColor rgb="FF06B050"/>
        </patternFill>
      </fill>
    </dxf>
    <dxf>
      <font>
        <b/>
        <i val="0"/>
        <color theme="1"/>
      </font>
      <fill>
        <patternFill patternType="solid">
          <bgColor rgb="FF2EBAAF"/>
        </patternFill>
      </fill>
    </dxf>
    <dxf>
      <font>
        <b/>
        <i val="0"/>
        <color theme="1"/>
      </font>
      <fill>
        <patternFill patternType="solid">
          <bgColor rgb="FFF2BA02"/>
        </patternFill>
      </fill>
    </dxf>
    <dxf>
      <font>
        <b/>
        <i val="0"/>
        <color theme="1"/>
      </font>
      <fill>
        <patternFill patternType="solid">
          <bgColor rgb="FFAD9142"/>
        </patternFill>
      </fill>
    </dxf>
    <dxf>
      <font>
        <b/>
        <i val="0"/>
        <color theme="1"/>
      </font>
      <fill>
        <patternFill patternType="solid">
          <bgColor rgb="FFEF812E"/>
        </patternFill>
      </fill>
    </dxf>
    <dxf>
      <font>
        <color rgb="FFC00000"/>
      </font>
    </dxf>
    <dxf>
      <font>
        <b/>
      </font>
    </dxf>
    <dxf>
      <font>
        <b/>
      </font>
    </dxf>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00" b="1" i="0" u="none" strike="noStrike" kern="1200" spc="0" baseline="0">
                <a:solidFill>
                  <a:srgbClr val="0A2533"/>
                </a:solidFill>
                <a:latin typeface="Century Gothic" panose="020B0502020202020204"/>
                <a:ea typeface="Century Gothic" panose="020B0502020202020204"/>
                <a:cs typeface="Century Gothic" panose="020B0502020202020204"/>
              </a:defRPr>
            </a:pPr>
            <a:r>
              <a:rPr lang="en-US"/>
              <a:t>WORK PROGRESS</a:t>
            </a:r>
          </a:p>
        </c:rich>
      </c:tx>
      <c:overlay val="0"/>
      <c:spPr>
        <a:noFill/>
        <a:ln>
          <a:noFill/>
        </a:ln>
        <a:effectLst/>
      </c:spPr>
      <c:txPr>
        <a:bodyPr rot="0" spcFirstLastPara="1" vertOverflow="ellipsis" vert="horz" wrap="square" anchor="ctr" anchorCtr="1"/>
        <a:lstStyle/>
        <a:p>
          <a:pPr>
            <a:defRPr lang="en-US" sz="1000" b="1" i="0" u="none" strike="noStrike" kern="1200" spc="0" baseline="0">
              <a:solidFill>
                <a:srgbClr val="0A2533"/>
              </a:solidFill>
              <a:latin typeface="Century Gothic" panose="020B0502020202020204"/>
              <a:ea typeface="Century Gothic" panose="020B0502020202020204"/>
              <a:cs typeface="Century Gothic" panose="020B0502020202020204"/>
            </a:defRPr>
          </a:pPr>
          <a:endParaRPr lang="en-US"/>
        </a:p>
      </c:txPr>
    </c:title>
    <c:autoTitleDeleted val="0"/>
    <c:plotArea>
      <c:layout/>
      <c:doughnutChart>
        <c:varyColors val="1"/>
        <c:ser>
          <c:idx val="0"/>
          <c:order val="0"/>
          <c:dPt>
            <c:idx val="0"/>
            <c:bubble3D val="0"/>
            <c:explosion val="24"/>
            <c:spPr>
              <a:solidFill>
                <a:srgbClr val="008C95"/>
              </a:solidFill>
              <a:ln w="25400">
                <a:noFill/>
              </a:ln>
              <a:effectLst/>
            </c:spPr>
            <c:extLst>
              <c:ext xmlns:c16="http://schemas.microsoft.com/office/drawing/2014/chart" uri="{C3380CC4-5D6E-409C-BE32-E72D297353CC}">
                <c16:uniqueId val="{00000001-8705-6542-9DBF-FAE67E0DC016}"/>
              </c:ext>
            </c:extLst>
          </c:dPt>
          <c:dPt>
            <c:idx val="1"/>
            <c:bubble3D val="0"/>
            <c:spPr>
              <a:solidFill>
                <a:srgbClr val="E5E7EB"/>
              </a:solidFill>
              <a:ln w="25400">
                <a:noFill/>
              </a:ln>
              <a:effectLst/>
            </c:spPr>
            <c:extLst>
              <c:ext xmlns:c16="http://schemas.microsoft.com/office/drawing/2014/chart" uri="{C3380CC4-5D6E-409C-BE32-E72D297353CC}">
                <c16:uniqueId val="{00000003-8705-6542-9DBF-FAE67E0DC016}"/>
              </c:ext>
            </c:extLst>
          </c:dPt>
          <c:cat>
            <c:strRef>
              <c:f>'Payment Summary'!$O$3:$O$4</c:f>
              <c:strCache>
                <c:ptCount val="2"/>
                <c:pt idx="0">
                  <c:v>Completed</c:v>
                </c:pt>
                <c:pt idx="1">
                  <c:v>Remaining</c:v>
                </c:pt>
              </c:strCache>
            </c:strRef>
          </c:cat>
          <c:val>
            <c:numRef>
              <c:f>'Payment Summary'!$P$3:$P$4</c:f>
              <c:numCache>
                <c:formatCode>0.00%</c:formatCode>
                <c:ptCount val="2"/>
                <c:pt idx="0" formatCode="General">
                  <c:v>0.95356091385060848</c:v>
                </c:pt>
                <c:pt idx="1">
                  <c:v>4.6439086149391517E-2</c:v>
                </c:pt>
              </c:numCache>
            </c:numRef>
          </c:val>
          <c:extLst>
            <c:ext xmlns:c16="http://schemas.microsoft.com/office/drawing/2014/chart" uri="{C3380CC4-5D6E-409C-BE32-E72D297353CC}">
              <c16:uniqueId val="{00000004-8705-6542-9DBF-FAE67E0DC01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uri="{0b15fc19-7d7d-44ad-8c2d-2c3a37ce22c3}">
        <chartProps xmlns="https://web.wps.cn/et/2018/main" chartId="{9716b485-fd3a-46b5-9da6-0f02a8bd32ce}"/>
      </c:ext>
    </c:extLst>
  </c:chart>
  <c:spPr>
    <a:noFill/>
    <a:ln w="25400" cap="flat" cmpd="sng" algn="ctr">
      <a:noFill/>
      <a:round/>
    </a:ln>
    <a:effectLst/>
  </c:spPr>
  <c:txPr>
    <a:bodyPr/>
    <a:lstStyle/>
    <a:p>
      <a:pPr>
        <a:defRPr lang="en-US"/>
      </a:pPr>
      <a:endParaRPr lang="en-SA"/>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00" b="1" i="0" u="none" strike="noStrike" kern="1200" spc="0" baseline="0">
                <a:solidFill>
                  <a:srgbClr val="0A2533"/>
                </a:solidFill>
                <a:latin typeface="Century Gothic" panose="020B0502020202020204"/>
                <a:ea typeface="Century Gothic" panose="020B0502020202020204"/>
                <a:cs typeface="Century Gothic" panose="020B0502020202020204"/>
              </a:defRPr>
            </a:pPr>
            <a:r>
              <a:rPr lang="en-US"/>
              <a:t>VO VALUE BY STATUS</a:t>
            </a:r>
          </a:p>
        </c:rich>
      </c:tx>
      <c:overlay val="0"/>
      <c:spPr>
        <a:noFill/>
        <a:ln>
          <a:noFill/>
        </a:ln>
        <a:effectLst/>
      </c:spPr>
      <c:txPr>
        <a:bodyPr rot="0" spcFirstLastPara="1" vertOverflow="ellipsis" vert="horz" wrap="square" anchor="ctr" anchorCtr="1"/>
        <a:lstStyle/>
        <a:p>
          <a:pPr>
            <a:defRPr lang="en-US" sz="1000" b="1" i="0" u="none" strike="noStrike" kern="1200" spc="0" baseline="0">
              <a:solidFill>
                <a:srgbClr val="0A2533"/>
              </a:solidFill>
              <a:latin typeface="Century Gothic" panose="020B0502020202020204"/>
              <a:ea typeface="Century Gothic" panose="020B0502020202020204"/>
              <a:cs typeface="Century Gothic" panose="020B0502020202020204"/>
            </a:defRPr>
          </a:pPr>
          <a:endParaRPr lang="en-US"/>
        </a:p>
      </c:txPr>
    </c:title>
    <c:autoTitleDeleted val="0"/>
    <c:plotArea>
      <c:layout/>
      <c:barChart>
        <c:barDir val="bar"/>
        <c:grouping val="clustered"/>
        <c:varyColors val="0"/>
        <c:ser>
          <c:idx val="0"/>
          <c:order val="0"/>
          <c:spPr>
            <a:solidFill>
              <a:srgbClr val="C5A065"/>
            </a:solidFill>
            <a:ln>
              <a:noFill/>
            </a:ln>
            <a:effectLst/>
          </c:spPr>
          <c:invertIfNegative val="0"/>
          <c:dPt>
            <c:idx val="0"/>
            <c:invertIfNegative val="0"/>
            <c:bubble3D val="0"/>
            <c:spPr>
              <a:solidFill>
                <a:srgbClr val="C5A065"/>
              </a:solidFill>
              <a:ln w="25400">
                <a:noFill/>
              </a:ln>
              <a:effectLst/>
            </c:spPr>
            <c:extLst>
              <c:ext xmlns:c16="http://schemas.microsoft.com/office/drawing/2014/chart" uri="{C3380CC4-5D6E-409C-BE32-E72D297353CC}">
                <c16:uniqueId val="{00000001-9B4B-9445-9F35-924A0E52BB6A}"/>
              </c:ext>
            </c:extLst>
          </c:dPt>
          <c:dPt>
            <c:idx val="1"/>
            <c:invertIfNegative val="0"/>
            <c:bubble3D val="0"/>
            <c:spPr>
              <a:solidFill>
                <a:srgbClr val="C5A065"/>
              </a:solidFill>
              <a:ln w="25400">
                <a:noFill/>
              </a:ln>
              <a:effectLst/>
            </c:spPr>
            <c:extLst>
              <c:ext xmlns:c16="http://schemas.microsoft.com/office/drawing/2014/chart" uri="{C3380CC4-5D6E-409C-BE32-E72D297353CC}">
                <c16:uniqueId val="{00000003-9B4B-9445-9F35-924A0E52BB6A}"/>
              </c:ext>
            </c:extLst>
          </c:dPt>
          <c:cat>
            <c:strRef>
              <c:f>'Payment Summary'!$O$13:$O$17</c:f>
              <c:strCache>
                <c:ptCount val="5"/>
                <c:pt idx="0">
                  <c:v>Pending FFC</c:v>
                </c:pt>
                <c:pt idx="1">
                  <c:v>Pending RSG</c:v>
                </c:pt>
                <c:pt idx="2">
                  <c:v>Pending RSG/FFC</c:v>
                </c:pt>
                <c:pt idx="3">
                  <c:v>Approved/Awaiting DVO</c:v>
                </c:pt>
                <c:pt idx="4">
                  <c:v>DVO RR Issued</c:v>
                </c:pt>
              </c:strCache>
            </c:strRef>
          </c:cat>
          <c:val>
            <c:numRef>
              <c:f>'Payment Summary'!$P$13:$P$17</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4-9B4B-9445-9F35-924A0E52BB6A}"/>
            </c:ext>
          </c:extLst>
        </c:ser>
        <c:dLbls>
          <c:showLegendKey val="0"/>
          <c:showVal val="0"/>
          <c:showCatName val="0"/>
          <c:showSerName val="0"/>
          <c:showPercent val="0"/>
          <c:showBubbleSize val="0"/>
        </c:dLbls>
        <c:gapWidth val="182"/>
        <c:axId val="1716974271"/>
        <c:axId val="1716880703"/>
      </c:barChart>
      <c:catAx>
        <c:axId val="1716974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0" i="0" u="none" strike="noStrike" kern="1200" baseline="0">
                <a:solidFill>
                  <a:srgbClr val="0A2533"/>
                </a:solidFill>
                <a:latin typeface="Century Gothic" panose="020B0502020202020204"/>
                <a:ea typeface="Century Gothic" panose="020B0502020202020204"/>
                <a:cs typeface="Century Gothic" panose="020B0502020202020204"/>
              </a:defRPr>
            </a:pPr>
            <a:endParaRPr lang="en-SA"/>
          </a:p>
        </c:txPr>
        <c:crossAx val="1716880703"/>
        <c:crosses val="autoZero"/>
        <c:auto val="1"/>
        <c:lblAlgn val="ctr"/>
        <c:lblOffset val="100"/>
        <c:noMultiLvlLbl val="0"/>
      </c:catAx>
      <c:valAx>
        <c:axId val="171688070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16974271"/>
        <c:crosses val="autoZero"/>
        <c:crossBetween val="between"/>
      </c:valAx>
      <c:spPr>
        <a:noFill/>
        <a:ln>
          <a:noFill/>
        </a:ln>
        <a:effectLst/>
      </c:spPr>
    </c:plotArea>
    <c:plotVisOnly val="1"/>
    <c:dispBlanksAs val="gap"/>
    <c:showDLblsOverMax val="0"/>
    <c:extLst>
      <c:ext uri="{0b15fc19-7d7d-44ad-8c2d-2c3a37ce22c3}">
        <chartProps xmlns="https://web.wps.cn/et/2018/main" chartId="{83aee10c-d7e3-49ae-b002-f00586395f27}"/>
      </c:ext>
    </c:extLst>
  </c:chart>
  <c:spPr>
    <a:solidFill>
      <a:srgbClr val="FFFFFF"/>
    </a:solidFill>
    <a:ln w="25400" cap="flat" cmpd="sng" algn="ctr">
      <a:noFill/>
      <a:round/>
    </a:ln>
    <a:effectLst/>
  </c:spPr>
  <c:txPr>
    <a:bodyPr/>
    <a:lstStyle/>
    <a:p>
      <a:pPr>
        <a:defRPr lang="en-US"/>
      </a:pPr>
      <a:endParaRPr lang="en-SA"/>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00" b="1" i="0" u="none" strike="noStrike" kern="1200" spc="0" baseline="0">
                <a:solidFill>
                  <a:srgbClr val="0A2533"/>
                </a:solidFill>
                <a:latin typeface="Century Gothic" panose="020B0502020202020204"/>
                <a:ea typeface="Century Gothic" panose="020B0502020202020204"/>
                <a:cs typeface="Century Gothic" panose="020B0502020202020204"/>
              </a:defRPr>
            </a:pPr>
            <a:r>
              <a:rPr lang="en-US"/>
              <a:t>ADVANCE DEDUCTED</a:t>
            </a:r>
          </a:p>
        </c:rich>
      </c:tx>
      <c:overlay val="0"/>
      <c:spPr>
        <a:noFill/>
        <a:ln>
          <a:noFill/>
        </a:ln>
        <a:effectLst/>
      </c:spPr>
      <c:txPr>
        <a:bodyPr rot="0" spcFirstLastPara="1" vertOverflow="ellipsis" vert="horz" wrap="square" anchor="ctr" anchorCtr="1"/>
        <a:lstStyle/>
        <a:p>
          <a:pPr>
            <a:defRPr lang="en-US" sz="1000" b="1" i="0" u="none" strike="noStrike" kern="1200" spc="0" baseline="0">
              <a:solidFill>
                <a:srgbClr val="0A2533"/>
              </a:solidFill>
              <a:latin typeface="Century Gothic" panose="020B0502020202020204"/>
              <a:ea typeface="Century Gothic" panose="020B0502020202020204"/>
              <a:cs typeface="Century Gothic" panose="020B0502020202020204"/>
            </a:defRPr>
          </a:pPr>
          <a:endParaRPr lang="en-US"/>
        </a:p>
      </c:txPr>
    </c:title>
    <c:autoTitleDeleted val="0"/>
    <c:plotArea>
      <c:layout/>
      <c:doughnutChart>
        <c:varyColors val="1"/>
        <c:ser>
          <c:idx val="0"/>
          <c:order val="0"/>
          <c:dPt>
            <c:idx val="0"/>
            <c:bubble3D val="0"/>
            <c:spPr>
              <a:solidFill>
                <a:srgbClr val="008C95"/>
              </a:solidFill>
              <a:ln w="25400">
                <a:noFill/>
              </a:ln>
              <a:effectLst/>
            </c:spPr>
            <c:extLst>
              <c:ext xmlns:c16="http://schemas.microsoft.com/office/drawing/2014/chart" uri="{C3380CC4-5D6E-409C-BE32-E72D297353CC}">
                <c16:uniqueId val="{00000001-080A-1E48-ACAE-A84ADA6D7B9D}"/>
              </c:ext>
            </c:extLst>
          </c:dPt>
          <c:dPt>
            <c:idx val="1"/>
            <c:bubble3D val="0"/>
            <c:spPr>
              <a:solidFill>
                <a:srgbClr val="E5E7EB"/>
              </a:solidFill>
              <a:ln w="25400">
                <a:noFill/>
              </a:ln>
              <a:effectLst/>
            </c:spPr>
            <c:extLst>
              <c:ext xmlns:c16="http://schemas.microsoft.com/office/drawing/2014/chart" uri="{C3380CC4-5D6E-409C-BE32-E72D297353CC}">
                <c16:uniqueId val="{00000003-080A-1E48-ACAE-A84ADA6D7B9D}"/>
              </c:ext>
            </c:extLst>
          </c:dPt>
          <c:cat>
            <c:strRef>
              <c:f>'Payment Summary'!$O$6:$O$7</c:f>
              <c:strCache>
                <c:ptCount val="2"/>
                <c:pt idx="0">
                  <c:v>Deducted</c:v>
                </c:pt>
                <c:pt idx="1">
                  <c:v>Balance</c:v>
                </c:pt>
              </c:strCache>
            </c:strRef>
          </c:cat>
          <c:val>
            <c:numRef>
              <c:f>'Payment Summary'!$P$6:$P$7</c:f>
              <c:numCache>
                <c:formatCode>0.00%</c:formatCode>
                <c:ptCount val="2"/>
                <c:pt idx="0" formatCode="General">
                  <c:v>0.99999999953164198</c:v>
                </c:pt>
                <c:pt idx="1">
                  <c:v>4.6835801903455376E-10</c:v>
                </c:pt>
              </c:numCache>
            </c:numRef>
          </c:val>
          <c:extLst>
            <c:ext xmlns:c16="http://schemas.microsoft.com/office/drawing/2014/chart" uri="{C3380CC4-5D6E-409C-BE32-E72D297353CC}">
              <c16:uniqueId val="{00000004-080A-1E48-ACAE-A84ADA6D7B9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uri="{0b15fc19-7d7d-44ad-8c2d-2c3a37ce22c3}">
        <chartProps xmlns="https://web.wps.cn/et/2018/main" chartId="{54d0c974-bb53-49f2-b559-c73e4160b0cf}"/>
      </c:ext>
    </c:extLst>
  </c:chart>
  <c:spPr>
    <a:noFill/>
    <a:ln w="25400" cap="flat" cmpd="sng" algn="ctr">
      <a:noFill/>
      <a:round/>
    </a:ln>
    <a:effectLst/>
  </c:spPr>
  <c:txPr>
    <a:bodyPr/>
    <a:lstStyle/>
    <a:p>
      <a:pPr>
        <a:defRPr lang="en-US"/>
      </a:pPr>
      <a:endParaRPr lang="en-SA"/>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00" b="1" i="0" u="none" strike="noStrike" kern="1200" spc="0" baseline="0">
                <a:solidFill>
                  <a:srgbClr val="0A2533"/>
                </a:solidFill>
                <a:latin typeface="Century Gothic" panose="020B0502020202020204"/>
                <a:ea typeface="Century Gothic" panose="020B0502020202020204"/>
                <a:cs typeface="Century Gothic" panose="020B0502020202020204"/>
              </a:defRPr>
            </a:pPr>
            <a:r>
              <a:rPr lang="en-US"/>
              <a:t>RETENTION DEDUCTED</a:t>
            </a:r>
          </a:p>
        </c:rich>
      </c:tx>
      <c:overlay val="0"/>
      <c:spPr>
        <a:noFill/>
        <a:ln>
          <a:noFill/>
        </a:ln>
        <a:effectLst/>
      </c:spPr>
      <c:txPr>
        <a:bodyPr rot="0" spcFirstLastPara="1" vertOverflow="ellipsis" vert="horz" wrap="square" anchor="ctr" anchorCtr="1"/>
        <a:lstStyle/>
        <a:p>
          <a:pPr>
            <a:defRPr lang="en-US" sz="1000" b="1" i="0" u="none" strike="noStrike" kern="1200" spc="0" baseline="0">
              <a:solidFill>
                <a:srgbClr val="0A2533"/>
              </a:solidFill>
              <a:latin typeface="Century Gothic" panose="020B0502020202020204"/>
              <a:ea typeface="Century Gothic" panose="020B0502020202020204"/>
              <a:cs typeface="Century Gothic" panose="020B0502020202020204"/>
            </a:defRPr>
          </a:pPr>
          <a:endParaRPr lang="en-US"/>
        </a:p>
      </c:txPr>
    </c:title>
    <c:autoTitleDeleted val="0"/>
    <c:plotArea>
      <c:layout/>
      <c:doughnutChart>
        <c:varyColors val="1"/>
        <c:ser>
          <c:idx val="0"/>
          <c:order val="0"/>
          <c:dPt>
            <c:idx val="0"/>
            <c:bubble3D val="0"/>
            <c:spPr>
              <a:solidFill>
                <a:srgbClr val="C5A065"/>
              </a:solidFill>
              <a:ln w="25400">
                <a:noFill/>
              </a:ln>
              <a:effectLst/>
            </c:spPr>
            <c:extLst>
              <c:ext xmlns:c16="http://schemas.microsoft.com/office/drawing/2014/chart" uri="{C3380CC4-5D6E-409C-BE32-E72D297353CC}">
                <c16:uniqueId val="{00000001-A08F-EA4D-A5B4-DFCC4EFD2A60}"/>
              </c:ext>
            </c:extLst>
          </c:dPt>
          <c:dPt>
            <c:idx val="1"/>
            <c:bubble3D val="0"/>
            <c:spPr>
              <a:solidFill>
                <a:srgbClr val="E5E7EB"/>
              </a:solidFill>
              <a:ln w="25400">
                <a:noFill/>
              </a:ln>
              <a:effectLst/>
            </c:spPr>
            <c:extLst>
              <c:ext xmlns:c16="http://schemas.microsoft.com/office/drawing/2014/chart" uri="{C3380CC4-5D6E-409C-BE32-E72D297353CC}">
                <c16:uniqueId val="{00000003-A08F-EA4D-A5B4-DFCC4EFD2A60}"/>
              </c:ext>
            </c:extLst>
          </c:dPt>
          <c:cat>
            <c:strRef>
              <c:f>'Payment Summary'!$O$9:$O$10</c:f>
              <c:strCache>
                <c:ptCount val="2"/>
                <c:pt idx="0">
                  <c:v>Deducted</c:v>
                </c:pt>
                <c:pt idx="1">
                  <c:v>Balance</c:v>
                </c:pt>
              </c:strCache>
            </c:strRef>
          </c:cat>
          <c:val>
            <c:numRef>
              <c:f>'Payment Summary'!$P$9:$P$10</c:f>
              <c:numCache>
                <c:formatCode>General</c:formatCode>
                <c:ptCount val="2"/>
                <c:pt idx="0">
                  <c:v>0.95356091215771144</c:v>
                </c:pt>
                <c:pt idx="1">
                  <c:v>4.6439087842288583E-2</c:v>
                </c:pt>
              </c:numCache>
            </c:numRef>
          </c:val>
          <c:extLst>
            <c:ext xmlns:c16="http://schemas.microsoft.com/office/drawing/2014/chart" uri="{C3380CC4-5D6E-409C-BE32-E72D297353CC}">
              <c16:uniqueId val="{00000004-A08F-EA4D-A5B4-DFCC4EFD2A6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uri="{0b15fc19-7d7d-44ad-8c2d-2c3a37ce22c3}">
        <chartProps xmlns="https://web.wps.cn/et/2018/main" chartId="{e2a5fad5-c373-4280-8331-8226279f3ba2}"/>
      </c:ext>
    </c:extLst>
  </c:chart>
  <c:spPr>
    <a:noFill/>
    <a:ln w="25400" cap="flat" cmpd="sng" algn="ctr">
      <a:noFill/>
      <a:round/>
    </a:ln>
    <a:effectLst/>
  </c:spPr>
  <c:txPr>
    <a:bodyPr/>
    <a:lstStyle/>
    <a:p>
      <a:pPr>
        <a:defRPr lang="en-US"/>
      </a:pPr>
      <a:endParaRPr lang="en-SA"/>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2000" b="1" i="0" u="none" strike="noStrike" kern="1200" spc="0" baseline="0">
                <a:ln w="0">
                  <a:prstDash val="solid"/>
                </a:ln>
                <a:solidFill>
                  <a:schemeClr val="tx1"/>
                </a:solidFill>
                <a:latin typeface="+mn-lt"/>
                <a:ea typeface="+mn-ea"/>
                <a:cs typeface="+mn-cs"/>
              </a:defRPr>
            </a:pPr>
            <a:r>
              <a:rPr lang="en-US" sz="2000" b="1" spc="0">
                <a:ln w="0">
                  <a:prstDash val="solid"/>
                </a:ln>
                <a:solidFill>
                  <a:schemeClr val="tx1"/>
                </a:solidFill>
              </a:rPr>
              <a:t>Work </a:t>
            </a:r>
          </a:p>
          <a:p>
            <a:pPr>
              <a:defRPr lang="en-US" sz="2000" b="1" i="0" u="none" strike="noStrike" kern="1200" spc="0" baseline="0">
                <a:ln w="0">
                  <a:prstDash val="solid"/>
                </a:ln>
                <a:solidFill>
                  <a:schemeClr val="tx1"/>
                </a:solidFill>
                <a:latin typeface="+mn-lt"/>
                <a:ea typeface="+mn-ea"/>
                <a:cs typeface="+mn-cs"/>
              </a:defRPr>
            </a:pPr>
            <a:r>
              <a:rPr lang="en-US" sz="2000" b="1" spc="0">
                <a:ln w="0">
                  <a:prstDash val="solid"/>
                </a:ln>
                <a:solidFill>
                  <a:schemeClr val="tx1"/>
                </a:solidFill>
              </a:rPr>
              <a:t>Done</a:t>
            </a:r>
          </a:p>
        </c:rich>
      </c:tx>
      <c:layout>
        <c:manualLayout>
          <c:xMode val="edge"/>
          <c:yMode val="edge"/>
          <c:x val="0.46111431015256599"/>
          <c:y val="0.37389395702575701"/>
        </c:manualLayout>
      </c:layout>
      <c:overlay val="0"/>
      <c:spPr>
        <a:noFill/>
        <a:ln>
          <a:noFill/>
          <a:prstDash val="solid"/>
        </a:ln>
      </c:spPr>
    </c:title>
    <c:autoTitleDeleted val="0"/>
    <c:plotArea>
      <c:layout>
        <c:manualLayout>
          <c:layoutTarget val="inner"/>
          <c:xMode val="edge"/>
          <c:yMode val="edge"/>
          <c:x val="0.117098535365932"/>
          <c:y val="3.7884236416022003E-2"/>
          <c:w val="0.765803187089934"/>
          <c:h val="0.72317083087632705"/>
        </c:manualLayout>
      </c:layout>
      <c:doughnutChart>
        <c:varyColors val="1"/>
        <c:ser>
          <c:idx val="0"/>
          <c:order val="0"/>
          <c:tx>
            <c:strRef>
              <c:f>'Payment Register'!$C$12:$C$13</c:f>
              <c:strCache>
                <c:ptCount val="2"/>
                <c:pt idx="0">
                  <c:v>Total Work Done</c:v>
                </c:pt>
                <c:pt idx="1">
                  <c:v>Balance Work Done </c:v>
                </c:pt>
              </c:strCache>
            </c:strRef>
          </c:tx>
          <c:spPr>
            <a:ln>
              <a:noFill/>
              <a:prstDash val="solid"/>
            </a:ln>
          </c:spPr>
          <c:dPt>
            <c:idx val="0"/>
            <c:bubble3D val="0"/>
            <c:explosion val="20"/>
            <c:spPr>
              <a:gradFill>
                <a:gsLst>
                  <a:gs pos="0">
                    <a:schemeClr val="accent1">
                      <a:hueOff val="-2520000"/>
                    </a:schemeClr>
                  </a:gs>
                  <a:gs pos="100000">
                    <a:schemeClr val="accent1"/>
                  </a:gs>
                </a:gsLst>
                <a:lin ang="2700000" scaled="0"/>
              </a:gradFill>
              <a:ln>
                <a:noFill/>
                <a:prstDash val="solid"/>
              </a:ln>
            </c:spPr>
            <c:extLst>
              <c:ext xmlns:c16="http://schemas.microsoft.com/office/drawing/2014/chart" uri="{C3380CC4-5D6E-409C-BE32-E72D297353CC}">
                <c16:uniqueId val="{00000001-8C75-B94F-8276-6EE996B3427B}"/>
              </c:ext>
            </c:extLst>
          </c:dPt>
          <c:dPt>
            <c:idx val="1"/>
            <c:bubble3D val="0"/>
            <c:spPr>
              <a:gradFill>
                <a:gsLst>
                  <a:gs pos="0">
                    <a:schemeClr val="accent2">
                      <a:hueOff val="-2520000"/>
                    </a:schemeClr>
                  </a:gs>
                  <a:gs pos="100000">
                    <a:schemeClr val="accent2"/>
                  </a:gs>
                </a:gsLst>
                <a:lin ang="2700000" scaled="0"/>
              </a:gradFill>
              <a:ln>
                <a:noFill/>
                <a:prstDash val="solid"/>
              </a:ln>
            </c:spPr>
            <c:extLst>
              <c:ext xmlns:c16="http://schemas.microsoft.com/office/drawing/2014/chart" uri="{C3380CC4-5D6E-409C-BE32-E72D297353CC}">
                <c16:uniqueId val="{00000003-8C75-B94F-8276-6EE996B3427B}"/>
              </c:ext>
            </c:extLst>
          </c:dPt>
          <c:dLbls>
            <c:spPr>
              <a:noFill/>
              <a:ln>
                <a:noFill/>
                <a:prstDash val="solid"/>
              </a:ln>
              <a:effectLst/>
            </c:spPr>
            <c:txPr>
              <a:bodyPr rot="0" spcFirstLastPara="1" vertOverflow="ellipsis" vert="horz" wrap="square" lIns="38100" tIns="19050" rIns="38100" bIns="19050" anchor="ctr" anchorCtr="1">
                <a:spAutoFit/>
              </a:bodyPr>
              <a:lstStyle/>
              <a:p>
                <a:pPr>
                  <a:defRPr lang="en-US" sz="2800" b="1" i="0" u="none" strike="noStrike" kern="1200" baseline="0">
                    <a:solidFill>
                      <a:schemeClr val="tx1"/>
                    </a:solidFill>
                    <a:latin typeface="+mn-lt"/>
                    <a:ea typeface="+mn-ea"/>
                    <a:cs typeface="+mn-cs"/>
                  </a:defRPr>
                </a:pPr>
                <a:endParaRPr lang="en-SA"/>
              </a:p>
            </c:txPr>
            <c:showLegendKey val="0"/>
            <c:showVal val="0"/>
            <c:showCatName val="0"/>
            <c:showSerName val="0"/>
            <c:showPercent val="1"/>
            <c:showBubbleSize val="0"/>
            <c:showLeaderLines val="1"/>
            <c:extLst>
              <c:ext xmlns:c15="http://schemas.microsoft.com/office/drawing/2012/chart" uri="{CE6537A1-D6FC-4f65-9D91-7224C49458BB}"/>
            </c:extLst>
          </c:dLbls>
          <c:val>
            <c:numRef>
              <c:f>'Payment Register'!$D$12:$D$13</c:f>
              <c:numCache>
                <c:formatCode>_(* #,##0.00_);_(* \(#,##0.00\);_(* "-"??_);_(@_)</c:formatCode>
                <c:ptCount val="2"/>
                <c:pt idx="0">
                  <c:v>222047056.42039829</c:v>
                </c:pt>
                <c:pt idx="1">
                  <c:v>10813847.58178246</c:v>
                </c:pt>
              </c:numCache>
            </c:numRef>
          </c:val>
          <c:extLst>
            <c:ext xmlns:c16="http://schemas.microsoft.com/office/drawing/2014/chart" uri="{C3380CC4-5D6E-409C-BE32-E72D297353CC}">
              <c16:uniqueId val="{00000004-8C75-B94F-8276-6EE996B3427B}"/>
            </c:ext>
          </c:extLst>
        </c:ser>
        <c:dLbls>
          <c:showLegendKey val="0"/>
          <c:showVal val="0"/>
          <c:showCatName val="0"/>
          <c:showSerName val="0"/>
          <c:showPercent val="1"/>
          <c:showBubbleSize val="0"/>
          <c:showLeaderLines val="1"/>
        </c:dLbls>
        <c:firstSliceAng val="0"/>
        <c:holeSize val="49"/>
      </c:doughnutChart>
    </c:plotArea>
    <c:plotVisOnly val="1"/>
    <c:dispBlanksAs val="gap"/>
    <c:showDLblsOverMax val="1"/>
    <c:extLst>
      <c:ext uri="{0b15fc19-7d7d-44ad-8c2d-2c3a37ce22c3}">
        <chartProps xmlns="https://web.wps.cn/et/2018/main" chartId="{0a2bd4e1-7a63-402c-824a-34d82b995339}"/>
      </c:ext>
    </c:extLst>
  </c:chart>
  <c:spPr>
    <a:noFill/>
    <a:ln w="12700" cap="flat" cmpd="sng" algn="ctr">
      <a:noFill/>
      <a:prstDash val="solid"/>
      <a:round/>
    </a:ln>
  </c:spPr>
  <c:txPr>
    <a:bodyPr/>
    <a:lstStyle/>
    <a:p>
      <a:pPr>
        <a:defRPr lang="en-US"/>
      </a:pPr>
      <a:endParaRPr lang="en-SA"/>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800" b="1" i="0" u="none" strike="noStrike" kern="1200" baseline="0">
                <a:solidFill>
                  <a:schemeClr val="dk1">
                    <a:lumMod val="75000"/>
                    <a:lumOff val="25000"/>
                  </a:schemeClr>
                </a:solidFill>
                <a:latin typeface="+mn-lt"/>
                <a:ea typeface="+mn-ea"/>
                <a:cs typeface="+mn-cs"/>
              </a:defRPr>
            </a:pPr>
            <a:r>
              <a:rPr lang="en-US" sz="2800"/>
              <a:t>AP</a:t>
            </a:r>
            <a:endParaRPr lang="en-US"/>
          </a:p>
        </c:rich>
      </c:tx>
      <c:layout>
        <c:manualLayout>
          <c:xMode val="edge"/>
          <c:yMode val="edge"/>
          <c:x val="0.453493690584236"/>
          <c:y val="0.43681341821610298"/>
        </c:manualLayout>
      </c:layout>
      <c:overlay val="0"/>
      <c:spPr>
        <a:noFill/>
        <a:ln>
          <a:noFill/>
          <a:prstDash val="solid"/>
        </a:ln>
      </c:spPr>
    </c:title>
    <c:autoTitleDeleted val="0"/>
    <c:plotArea>
      <c:layout>
        <c:manualLayout>
          <c:layoutTarget val="inner"/>
          <c:xMode val="edge"/>
          <c:yMode val="edge"/>
          <c:x val="0.15318564596350501"/>
          <c:y val="0.12111010577740799"/>
          <c:w val="0.67499802140175202"/>
          <c:h val="0.693920418025603"/>
        </c:manualLayout>
      </c:layout>
      <c:doughnutChart>
        <c:varyColors val="1"/>
        <c:ser>
          <c:idx val="0"/>
          <c:order val="0"/>
          <c:spPr>
            <a:ln>
              <a:noFill/>
              <a:prstDash val="solid"/>
            </a:ln>
          </c:spPr>
          <c:explosion val="10"/>
          <c:dPt>
            <c:idx val="0"/>
            <c:bubble3D val="0"/>
            <c:explosion val="18"/>
            <c:spPr>
              <a:solidFill>
                <a:schemeClr val="accent2"/>
              </a:solidFill>
              <a:ln>
                <a:noFill/>
                <a:prstDash val="solid"/>
              </a:ln>
            </c:spPr>
            <c:extLst>
              <c:ext xmlns:c16="http://schemas.microsoft.com/office/drawing/2014/chart" uri="{C3380CC4-5D6E-409C-BE32-E72D297353CC}">
                <c16:uniqueId val="{00000001-EF76-9840-949A-A2E85C42EC84}"/>
              </c:ext>
            </c:extLst>
          </c:dPt>
          <c:dPt>
            <c:idx val="1"/>
            <c:bubble3D val="0"/>
            <c:explosion val="0"/>
            <c:spPr>
              <a:solidFill>
                <a:schemeClr val="accent4"/>
              </a:solidFill>
              <a:ln>
                <a:noFill/>
                <a:prstDash val="solid"/>
              </a:ln>
            </c:spPr>
            <c:extLst>
              <c:ext xmlns:c16="http://schemas.microsoft.com/office/drawing/2014/chart" uri="{C3380CC4-5D6E-409C-BE32-E72D297353CC}">
                <c16:uniqueId val="{00000003-EF76-9840-949A-A2E85C42EC84}"/>
              </c:ext>
            </c:extLst>
          </c:dPt>
          <c:dLbls>
            <c:spPr>
              <a:pattFill prst="pct75">
                <a:fgClr>
                  <a:schemeClr val="dk1">
                    <a:lumMod val="75000"/>
                    <a:lumOff val="25000"/>
                  </a:schemeClr>
                </a:fgClr>
                <a:bgClr>
                  <a:schemeClr val="dk1">
                    <a:lumMod val="65000"/>
                    <a:lumOff val="35000"/>
                  </a:schemeClr>
                </a:bgClr>
              </a:pattFill>
              <a:ln>
                <a:noFill/>
                <a:prstDash val="solid"/>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lt1"/>
                    </a:solidFill>
                    <a:latin typeface="+mn-lt"/>
                    <a:ea typeface="+mn-ea"/>
                    <a:cs typeface="+mn-cs"/>
                  </a:defRPr>
                </a:pPr>
                <a:endParaRPr lang="en-SA"/>
              </a:p>
            </c:txPr>
            <c:showLegendKey val="0"/>
            <c:showVal val="0"/>
            <c:showCatName val="0"/>
            <c:showSerName val="0"/>
            <c:showPercent val="1"/>
            <c:showBubbleSize val="0"/>
            <c:showLeaderLines val="0"/>
            <c:extLst>
              <c:ext xmlns:c15="http://schemas.microsoft.com/office/drawing/2012/chart" uri="{CE6537A1-D6FC-4f65-9D91-7224C49458BB}"/>
            </c:extLst>
          </c:dLbls>
          <c:cat>
            <c:numRef>
              <c:f>'Payment Register'!$H$5:$H$6</c:f>
              <c:numCache>
                <c:formatCode>_(* #,##0.00_);_(* \(#,##0.00\);_(* "-"??_);_(@_)</c:formatCode>
                <c:ptCount val="2"/>
                <c:pt idx="0">
                  <c:v>65250466.802618816</c:v>
                </c:pt>
                <c:pt idx="1">
                  <c:v>3.0560582876205444E-2</c:v>
                </c:pt>
              </c:numCache>
            </c:numRef>
          </c:cat>
          <c:val>
            <c:numRef>
              <c:f>'Payment Register'!$H$5:$H$6</c:f>
              <c:numCache>
                <c:formatCode>_(* #,##0.00_);_(* \(#,##0.00\);_(* "-"??_);_(@_)</c:formatCode>
                <c:ptCount val="2"/>
                <c:pt idx="0">
                  <c:v>65250466.802618816</c:v>
                </c:pt>
                <c:pt idx="1">
                  <c:v>3.0560582876205444E-2</c:v>
                </c:pt>
              </c:numCache>
            </c:numRef>
          </c:val>
          <c:extLst>
            <c:ext xmlns:c16="http://schemas.microsoft.com/office/drawing/2014/chart" uri="{C3380CC4-5D6E-409C-BE32-E72D297353CC}">
              <c16:uniqueId val="{00000004-EF76-9840-949A-A2E85C42EC84}"/>
            </c:ext>
          </c:extLst>
        </c:ser>
        <c:dLbls>
          <c:showLegendKey val="0"/>
          <c:showVal val="0"/>
          <c:showCatName val="0"/>
          <c:showSerName val="0"/>
          <c:showPercent val="1"/>
          <c:showBubbleSize val="0"/>
          <c:showLeaderLines val="0"/>
        </c:dLbls>
        <c:firstSliceAng val="0"/>
        <c:holeSize val="50"/>
      </c:doughnutChart>
    </c:plotArea>
    <c:plotVisOnly val="1"/>
    <c:dispBlanksAs val="gap"/>
    <c:showDLblsOverMax val="1"/>
    <c:extLst>
      <c:ext uri="{0b15fc19-7d7d-44ad-8c2d-2c3a37ce22c3}">
        <chartProps xmlns="https://web.wps.cn/et/2018/main" chartId="{27cf07c4-1804-46ef-9654-a4de1fb7ed65}"/>
      </c:ext>
    </c:extLst>
  </c:chart>
  <c:spPr>
    <a:noFill/>
    <a:ln w="9525" cap="flat" cmpd="sng" algn="ctr">
      <a:noFill/>
      <a:prstDash val="solid"/>
      <a:round/>
    </a:ln>
  </c:spPr>
  <c:txPr>
    <a:bodyPr/>
    <a:lstStyle/>
    <a:p>
      <a:pPr>
        <a:defRPr lang="en-US"/>
      </a:pPr>
      <a:endParaRPr lang="en-SA"/>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latin typeface="Calibri"/>
                <a:ea typeface="Calibri"/>
                <a:cs typeface="Calibri"/>
              </a:defRPr>
            </a:pPr>
            <a:r>
              <a:rPr lang="en-US"/>
              <a:t>Gross vs Net Certified by Payment</a:t>
            </a:r>
          </a:p>
        </c:rich>
      </c:tx>
      <c:overlay val="0"/>
    </c:title>
    <c:autoTitleDeleted val="0"/>
    <c:plotArea>
      <c:layout/>
      <c:barChart>
        <c:barDir val="col"/>
        <c:grouping val="clustered"/>
        <c:varyColors val="0"/>
        <c:ser>
          <c:idx val="1"/>
          <c:order val="0"/>
          <c:spPr>
            <a:solidFill>
              <a:srgbClr val="1F4E78"/>
            </a:solidFill>
            <a:ln w="9525" cap="flat" cmpd="sng" algn="ctr">
              <a:noFill/>
              <a:prstDash val="solid"/>
              <a:round/>
            </a:ln>
          </c:spPr>
          <c:invertIfNegative val="0"/>
          <c:dLbls>
            <c:delete val="1"/>
          </c:dLbls>
          <c:cat>
            <c:strRef>
              <c:f>'Payment Register'!$A$19:$A$48</c:f>
              <c:strCache>
                <c:ptCount val="30"/>
                <c:pt idx="0">
                  <c:v>IPA 1</c:v>
                </c:pt>
                <c:pt idx="1">
                  <c:v>IPA 2</c:v>
                </c:pt>
                <c:pt idx="2">
                  <c:v>IPA 3</c:v>
                </c:pt>
                <c:pt idx="3">
                  <c:v>IPA 4</c:v>
                </c:pt>
                <c:pt idx="4">
                  <c:v>IPA 5</c:v>
                </c:pt>
                <c:pt idx="5">
                  <c:v>IPA 6</c:v>
                </c:pt>
                <c:pt idx="6">
                  <c:v>IPA 7</c:v>
                </c:pt>
                <c:pt idx="7">
                  <c:v>IPA 8</c:v>
                </c:pt>
                <c:pt idx="8">
                  <c:v>IPA 9</c:v>
                </c:pt>
                <c:pt idx="9">
                  <c:v>IPA 10</c:v>
                </c:pt>
                <c:pt idx="10">
                  <c:v>IPA 11</c:v>
                </c:pt>
                <c:pt idx="11">
                  <c:v>IPA 12</c:v>
                </c:pt>
                <c:pt idx="12">
                  <c:v>IPA 13</c:v>
                </c:pt>
                <c:pt idx="13">
                  <c:v>IPA 14</c:v>
                </c:pt>
                <c:pt idx="14">
                  <c:v>IPA 15</c:v>
                </c:pt>
                <c:pt idx="15">
                  <c:v>IPA 16</c:v>
                </c:pt>
                <c:pt idx="16">
                  <c:v>IPA 17</c:v>
                </c:pt>
                <c:pt idx="17">
                  <c:v>IPA 18</c:v>
                </c:pt>
                <c:pt idx="18">
                  <c:v>IPA 19</c:v>
                </c:pt>
                <c:pt idx="19">
                  <c:v>IPA 20</c:v>
                </c:pt>
                <c:pt idx="20">
                  <c:v>IPA 21</c:v>
                </c:pt>
                <c:pt idx="21">
                  <c:v>IPA 22</c:v>
                </c:pt>
                <c:pt idx="22">
                  <c:v>IPA 23</c:v>
                </c:pt>
                <c:pt idx="23">
                  <c:v>IPA 24</c:v>
                </c:pt>
                <c:pt idx="24">
                  <c:v>IPA 25</c:v>
                </c:pt>
                <c:pt idx="25">
                  <c:v>IPA 26</c:v>
                </c:pt>
                <c:pt idx="26">
                  <c:v>IPA 27</c:v>
                </c:pt>
                <c:pt idx="27">
                  <c:v>IPA 28</c:v>
                </c:pt>
                <c:pt idx="28">
                  <c:v>IPA 29</c:v>
                </c:pt>
                <c:pt idx="29">
                  <c:v>IPA 30</c:v>
                </c:pt>
              </c:strCache>
            </c:strRef>
          </c:cat>
          <c:val>
            <c:numRef>
              <c:f>'Payment Register'!$D$19:$D$48</c:f>
              <c:numCache>
                <c:formatCode>_(* #,##0.00_);_(* \(#,##0.00\);_(* "-"??_);_(@_)</c:formatCode>
                <c:ptCount val="30"/>
                <c:pt idx="0">
                  <c:v>2571831.8036303301</c:v>
                </c:pt>
                <c:pt idx="1">
                  <c:v>1727779.4778470499</c:v>
                </c:pt>
                <c:pt idx="2">
                  <c:v>1363441.88975725</c:v>
                </c:pt>
                <c:pt idx="3">
                  <c:v>963176.5</c:v>
                </c:pt>
                <c:pt idx="4">
                  <c:v>6730484.9425204303</c:v>
                </c:pt>
                <c:pt idx="5">
                  <c:v>3008114.0911941398</c:v>
                </c:pt>
                <c:pt idx="6">
                  <c:v>3972034.6786647001</c:v>
                </c:pt>
                <c:pt idx="7">
                  <c:v>5556560.4115375802</c:v>
                </c:pt>
                <c:pt idx="8">
                  <c:v>6512584.8300000001</c:v>
                </c:pt>
                <c:pt idx="9">
                  <c:v>5212335</c:v>
                </c:pt>
                <c:pt idx="10">
                  <c:v>11178597.35</c:v>
                </c:pt>
                <c:pt idx="11">
                  <c:v>5338593.8515882799</c:v>
                </c:pt>
                <c:pt idx="12">
                  <c:v>10523911.064477701</c:v>
                </c:pt>
                <c:pt idx="13">
                  <c:v>14789522.58</c:v>
                </c:pt>
                <c:pt idx="14">
                  <c:v>14091614.85</c:v>
                </c:pt>
                <c:pt idx="15">
                  <c:v>5147125.92</c:v>
                </c:pt>
                <c:pt idx="16">
                  <c:v>14619843.800000001</c:v>
                </c:pt>
                <c:pt idx="17">
                  <c:v>13904093.66</c:v>
                </c:pt>
                <c:pt idx="18">
                  <c:v>9497761.3599999994</c:v>
                </c:pt>
                <c:pt idx="19">
                  <c:v>6813139.2599999998</c:v>
                </c:pt>
                <c:pt idx="20">
                  <c:v>5324464.1154271001</c:v>
                </c:pt>
                <c:pt idx="21">
                  <c:v>6418102.3520914996</c:v>
                </c:pt>
                <c:pt idx="22">
                  <c:v>18005054.059999999</c:v>
                </c:pt>
                <c:pt idx="23">
                  <c:v>9837424.5449645892</c:v>
                </c:pt>
                <c:pt idx="24">
                  <c:v>10126810.41</c:v>
                </c:pt>
                <c:pt idx="25">
                  <c:v>12479962.68</c:v>
                </c:pt>
                <c:pt idx="26">
                  <c:v>8942936.2205674108</c:v>
                </c:pt>
                <c:pt idx="27">
                  <c:v>4151301.66</c:v>
                </c:pt>
                <c:pt idx="28">
                  <c:v>2513487.3961303001</c:v>
                </c:pt>
                <c:pt idx="29">
                  <c:v>724965.66</c:v>
                </c:pt>
              </c:numCache>
            </c:numRef>
          </c:val>
          <c:extLst>
            <c:ext xmlns:c16="http://schemas.microsoft.com/office/drawing/2014/chart" uri="{C3380CC4-5D6E-409C-BE32-E72D297353CC}">
              <c16:uniqueId val="{00000000-CC4F-8442-A304-6197152EAAA2}"/>
            </c:ext>
          </c:extLst>
        </c:ser>
        <c:dLbls>
          <c:showLegendKey val="0"/>
          <c:showVal val="1"/>
          <c:showCatName val="0"/>
          <c:showSerName val="0"/>
          <c:showPercent val="0"/>
          <c:showBubbleSize val="0"/>
        </c:dLbls>
        <c:gapWidth val="78"/>
        <c:overlap val="-33"/>
        <c:axId val="788929983"/>
        <c:axId val="1433829823"/>
      </c:barChart>
      <c:lineChart>
        <c:grouping val="standard"/>
        <c:varyColors val="0"/>
        <c:ser>
          <c:idx val="2"/>
          <c:order val="1"/>
          <c:tx>
            <c:v>Net</c:v>
          </c:tx>
          <c:spPr>
            <a:ln w="28575">
              <a:solidFill>
                <a:srgbClr val="E97132"/>
              </a:solidFill>
              <a:prstDash val="solid"/>
            </a:ln>
          </c:spPr>
          <c:marker>
            <c:symbol val="circle"/>
            <c:size val="7"/>
            <c:spPr>
              <a:solidFill>
                <a:srgbClr val="E97132"/>
              </a:solidFill>
              <a:ln>
                <a:solidFill>
                  <a:srgbClr val="E97132"/>
                </a:solidFill>
                <a:prstDash val="solid"/>
              </a:ln>
            </c:spPr>
          </c:marker>
          <c:cat>
            <c:strRef>
              <c:f>'Payment Register'!$A$19:$A$45</c:f>
              <c:strCache>
                <c:ptCount val="27"/>
                <c:pt idx="0">
                  <c:v>IPA 1</c:v>
                </c:pt>
                <c:pt idx="1">
                  <c:v>IPA 2</c:v>
                </c:pt>
                <c:pt idx="2">
                  <c:v>IPA 3</c:v>
                </c:pt>
                <c:pt idx="3">
                  <c:v>IPA 4</c:v>
                </c:pt>
                <c:pt idx="4">
                  <c:v>IPA 5</c:v>
                </c:pt>
                <c:pt idx="5">
                  <c:v>IPA 6</c:v>
                </c:pt>
                <c:pt idx="6">
                  <c:v>IPA 7</c:v>
                </c:pt>
                <c:pt idx="7">
                  <c:v>IPA 8</c:v>
                </c:pt>
                <c:pt idx="8">
                  <c:v>IPA 9</c:v>
                </c:pt>
                <c:pt idx="9">
                  <c:v>IPA 10</c:v>
                </c:pt>
                <c:pt idx="10">
                  <c:v>IPA 11</c:v>
                </c:pt>
                <c:pt idx="11">
                  <c:v>IPA 12</c:v>
                </c:pt>
                <c:pt idx="12">
                  <c:v>IPA 13</c:v>
                </c:pt>
                <c:pt idx="13">
                  <c:v>IPA 14</c:v>
                </c:pt>
                <c:pt idx="14">
                  <c:v>IPA 15</c:v>
                </c:pt>
                <c:pt idx="15">
                  <c:v>IPA 16</c:v>
                </c:pt>
                <c:pt idx="16">
                  <c:v>IPA 17</c:v>
                </c:pt>
                <c:pt idx="17">
                  <c:v>IPA 18</c:v>
                </c:pt>
                <c:pt idx="18">
                  <c:v>IPA 19</c:v>
                </c:pt>
                <c:pt idx="19">
                  <c:v>IPA 20</c:v>
                </c:pt>
                <c:pt idx="20">
                  <c:v>IPA 21</c:v>
                </c:pt>
                <c:pt idx="21">
                  <c:v>IPA 22</c:v>
                </c:pt>
                <c:pt idx="22">
                  <c:v>IPA 23</c:v>
                </c:pt>
                <c:pt idx="23">
                  <c:v>IPA 24</c:v>
                </c:pt>
                <c:pt idx="24">
                  <c:v>IPA 25</c:v>
                </c:pt>
                <c:pt idx="25">
                  <c:v>IPA 26</c:v>
                </c:pt>
                <c:pt idx="26">
                  <c:v>IPA 27</c:v>
                </c:pt>
              </c:strCache>
            </c:strRef>
          </c:cat>
          <c:val>
            <c:numRef>
              <c:f>'Payment Register'!$J$19:$J$45</c:f>
              <c:numCache>
                <c:formatCode>_(* #,##0.00_);_(* \(#,##0.00\);_(* "-"??_);_(@_)</c:formatCode>
                <c:ptCount val="27"/>
                <c:pt idx="0">
                  <c:v>2108902.078976871</c:v>
                </c:pt>
                <c:pt idx="1">
                  <c:v>1416779.1718345808</c:v>
                </c:pt>
                <c:pt idx="2">
                  <c:v>1118022.3496009449</c:v>
                </c:pt>
                <c:pt idx="3">
                  <c:v>789804.72999999986</c:v>
                </c:pt>
                <c:pt idx="4">
                  <c:v>5518997.6528667528</c:v>
                </c:pt>
                <c:pt idx="5">
                  <c:v>2466653.5547791943</c:v>
                </c:pt>
                <c:pt idx="6">
                  <c:v>3257068.4365050541</c:v>
                </c:pt>
                <c:pt idx="7">
                  <c:v>4556379.5374608161</c:v>
                </c:pt>
                <c:pt idx="8">
                  <c:v>5340319.5605999995</c:v>
                </c:pt>
                <c:pt idx="9">
                  <c:v>4274114.7</c:v>
                </c:pt>
                <c:pt idx="10">
                  <c:v>7612233.5444427496</c:v>
                </c:pt>
                <c:pt idx="11">
                  <c:v>3635395.5621468127</c:v>
                </c:pt>
                <c:pt idx="12">
                  <c:v>7166415.0980220567</c:v>
                </c:pt>
                <c:pt idx="13">
                  <c:v>10071147.243689701</c:v>
                </c:pt>
                <c:pt idx="14">
                  <c:v>9595896.506330248</c:v>
                </c:pt>
                <c:pt idx="15">
                  <c:v>3505012.6021127994</c:v>
                </c:pt>
                <c:pt idx="16">
                  <c:v>9955601.9332669992</c:v>
                </c:pt>
                <c:pt idx="17">
                  <c:v>9468201.1391818989</c:v>
                </c:pt>
                <c:pt idx="18">
                  <c:v>6467643.064512399</c:v>
                </c:pt>
                <c:pt idx="19">
                  <c:v>4639509.3761858996</c:v>
                </c:pt>
                <c:pt idx="20">
                  <c:v>11068124.297904527</c:v>
                </c:pt>
                <c:pt idx="21">
                  <c:v>4691408.1857965626</c:v>
                </c:pt>
                <c:pt idx="22">
                  <c:v>13161064.340967899</c:v>
                </c:pt>
                <c:pt idx="23">
                  <c:v>7190813.0325100413</c:v>
                </c:pt>
                <c:pt idx="24">
                  <c:v>7402343.97134565</c:v>
                </c:pt>
                <c:pt idx="25">
                  <c:v>9122415.9203862008</c:v>
                </c:pt>
                <c:pt idx="26">
                  <c:v>6536973.3744670572</c:v>
                </c:pt>
              </c:numCache>
            </c:numRef>
          </c:val>
          <c:smooth val="0"/>
          <c:extLst>
            <c:ext xmlns:c16="http://schemas.microsoft.com/office/drawing/2014/chart" uri="{C3380CC4-5D6E-409C-BE32-E72D297353CC}">
              <c16:uniqueId val="{00000001-CC4F-8442-A304-6197152EAAA2}"/>
            </c:ext>
          </c:extLst>
        </c:ser>
        <c:dLbls>
          <c:showLegendKey val="0"/>
          <c:showVal val="0"/>
          <c:showCatName val="0"/>
          <c:showSerName val="0"/>
          <c:showPercent val="0"/>
          <c:showBubbleSize val="0"/>
        </c:dLbls>
        <c:marker val="1"/>
        <c:smooth val="0"/>
        <c:axId val="788929983"/>
        <c:axId val="1433829823"/>
      </c:lineChart>
      <c:catAx>
        <c:axId val="78892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lang="en-US" sz="900" b="0" i="0" u="none" strike="noStrike" kern="1200" baseline="0">
                <a:solidFill>
                  <a:schemeClr val="tx1">
                    <a:lumMod val="50000"/>
                    <a:lumOff val="50000"/>
                  </a:schemeClr>
                </a:solidFill>
                <a:latin typeface="+mn-lt"/>
                <a:ea typeface="+mn-ea"/>
                <a:cs typeface="+mn-cs"/>
              </a:defRPr>
            </a:pPr>
            <a:endParaRPr lang="en-SA"/>
          </a:p>
        </c:txPr>
        <c:crossAx val="1433829823"/>
        <c:crosses val="autoZero"/>
        <c:auto val="1"/>
        <c:lblAlgn val="ctr"/>
        <c:lblOffset val="100"/>
        <c:noMultiLvlLbl val="0"/>
      </c:catAx>
      <c:valAx>
        <c:axId val="1433829823"/>
        <c:scaling>
          <c:orientation val="minMax"/>
        </c:scaling>
        <c:delete val="1"/>
        <c:axPos val="l"/>
        <c:numFmt formatCode="_(* #,##0.00_);_(* \(#,##0.00\);_(* &quot;-&quot;??_);_(@_)" sourceLinked="1"/>
        <c:majorTickMark val="none"/>
        <c:minorTickMark val="none"/>
        <c:tickLblPos val="nextTo"/>
        <c:crossAx val="788929983"/>
        <c:crosses val="autoZero"/>
        <c:crossBetween val="between"/>
      </c:valAx>
      <c:spPr>
        <a:noFill/>
      </c:spPr>
    </c:plotArea>
    <c:legend>
      <c:legendPos val="b"/>
      <c:overlay val="0"/>
      <c:txPr>
        <a:bodyPr/>
        <a:lstStyle/>
        <a:p>
          <a:pPr>
            <a:defRPr sz="1100">
              <a:latin typeface="Calibri"/>
              <a:ea typeface="Calibri"/>
              <a:cs typeface="Calibri"/>
            </a:defRPr>
          </a:pPr>
          <a:endParaRPr lang="en-SA"/>
        </a:p>
      </c:txPr>
    </c:legend>
    <c:plotVisOnly val="1"/>
    <c:dispBlanksAs val="span"/>
    <c:showDLblsOverMax val="1"/>
    <c:extLst>
      <c:ext uri="{0b15fc19-7d7d-44ad-8c2d-2c3a37ce22c3}">
        <chartProps xmlns="https://web.wps.cn/et/2018/main" chartId="{f6dd9ee3-daa1-42ec-b353-12c374d2b592}"/>
      </c:ext>
    </c:extLst>
  </c:chart>
  <c:spPr>
    <a:noFill/>
    <a:ln w="9525" cap="flat" cmpd="sng" algn="ctr">
      <a:noFill/>
      <a:prstDash val="solid"/>
      <a:round/>
    </a:ln>
  </c:spPr>
  <c:txPr>
    <a:bodyPr/>
    <a:lstStyle/>
    <a:p>
      <a:pPr>
        <a:defRPr lang="en-US"/>
      </a:pPr>
      <a:endParaRPr lang="en-SA"/>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'VO LOG (New)'!$T$6</c:f>
              <c:strCache>
                <c:ptCount val="1"/>
                <c:pt idx="0">
                  <c:v>Count</c:v>
                </c:pt>
              </c:strCache>
            </c:strRef>
          </c:tx>
          <c:spPr>
            <a:ln>
              <a:noFill/>
              <a:prstDash val="solid"/>
            </a:ln>
          </c:spPr>
          <c:val>
            <c:numRef>
              <c:f>'VO LOG (New)'!$T$7:$T$11</c:f>
            </c:numRef>
          </c:val>
          <c:extLst>
            <c:ext xmlns:c16="http://schemas.microsoft.com/office/drawing/2014/chart" uri="{C3380CC4-5D6E-409C-BE32-E72D297353CC}">
              <c16:uniqueId val="{00000000-7A3F-884D-9F7A-34920801146F}"/>
            </c:ext>
          </c:extLst>
        </c:ser>
        <c:dLbls>
          <c:showLegendKey val="0"/>
          <c:showVal val="0"/>
          <c:showCatName val="0"/>
          <c:showSerName val="0"/>
          <c:showPercent val="0"/>
          <c:showBubbleSize val="0"/>
          <c:showLeaderLines val="1"/>
        </c:dLbls>
        <c:firstSliceAng val="0"/>
        <c:holeSize val="75"/>
      </c:doughnutChart>
    </c:plotArea>
    <c:legend>
      <c:legendPos val="b"/>
      <c:overlay val="0"/>
      <c:spPr>
        <a:noFill/>
        <a:ln>
          <a:noFill/>
          <a:prstDash val="solid"/>
        </a:ln>
      </c:spPr>
      <c:txPr>
        <a:bodyPr rot="0" spcFirstLastPara="1" vertOverflow="ellipsis" vert="horz" wrap="square" anchor="ctr" anchorCtr="1"/>
        <a:lstStyle/>
        <a:p>
          <a:pPr>
            <a:defRPr lang="en-US" sz="800" b="0" i="0" u="none" strike="noStrike" kern="1200" baseline="0">
              <a:solidFill>
                <a:srgbClr val="0A2533"/>
              </a:solidFill>
              <a:latin typeface="Calibri Light" panose="020F0302020204030204"/>
              <a:ea typeface="Calibri Light" panose="020F0302020204030204"/>
              <a:cs typeface="Calibri Light" panose="020F0302020204030204"/>
            </a:defRPr>
          </a:pPr>
          <a:endParaRPr lang="en-SA"/>
        </a:p>
      </c:txPr>
    </c:legend>
    <c:plotVisOnly val="1"/>
    <c:dispBlanksAs val="gap"/>
    <c:showDLblsOverMax val="1"/>
    <c:extLst>
      <c:ext uri="{0b15fc19-7d7d-44ad-8c2d-2c3a37ce22c3}">
        <chartProps xmlns="https://web.wps.cn/et/2018/main" chartId="{5c99a541-9635-4073-8d58-2749a58e222f}"/>
      </c:ext>
    </c:extLst>
  </c:chart>
  <c:spPr>
    <a:noFill/>
    <a:ln w="25400" cap="flat" cmpd="sng" algn="ctr">
      <a:noFill/>
      <a:prstDash val="solid"/>
      <a:round/>
    </a:ln>
  </c:spPr>
  <c:txPr>
    <a:bodyPr/>
    <a:lstStyle/>
    <a:p>
      <a:pPr>
        <a:defRPr lang="en-US"/>
      </a:pPr>
      <a:endParaRPr lang="en-SA"/>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5</xdr:col>
      <xdr:colOff>1231899</xdr:colOff>
      <xdr:row>11</xdr:row>
      <xdr:rowOff>118534</xdr:rowOff>
    </xdr:from>
    <xdr:to>
      <xdr:col>7</xdr:col>
      <xdr:colOff>1058332</xdr:colOff>
      <xdr:row>16</xdr:row>
      <xdr:rowOff>118534</xdr:rowOff>
    </xdr:to>
    <xdr:graphicFrame macro="">
      <xdr:nvGraphicFramePr>
        <xdr:cNvPr id="2" name="WorkProgressDonu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232834</xdr:colOff>
      <xdr:row>28</xdr:row>
      <xdr:rowOff>71967</xdr:rowOff>
    </xdr:from>
    <xdr:to>
      <xdr:col>10</xdr:col>
      <xdr:colOff>2184400</xdr:colOff>
      <xdr:row>39</xdr:row>
      <xdr:rowOff>1</xdr:rowOff>
    </xdr:to>
    <xdr:graphicFrame macro="">
      <xdr:nvGraphicFramePr>
        <xdr:cNvPr id="3" name="VOStatusBar">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1248832</xdr:colOff>
      <xdr:row>10</xdr:row>
      <xdr:rowOff>0</xdr:rowOff>
    </xdr:from>
    <xdr:to>
      <xdr:col>10</xdr:col>
      <xdr:colOff>1405467</xdr:colOff>
      <xdr:row>15</xdr:row>
      <xdr:rowOff>118534</xdr:rowOff>
    </xdr:to>
    <xdr:graphicFrame macro="">
      <xdr:nvGraphicFramePr>
        <xdr:cNvPr id="4" name="AdvanceDonut">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778934</xdr:colOff>
      <xdr:row>20</xdr:row>
      <xdr:rowOff>101601</xdr:rowOff>
    </xdr:from>
    <xdr:to>
      <xdr:col>10</xdr:col>
      <xdr:colOff>1811867</xdr:colOff>
      <xdr:row>27</xdr:row>
      <xdr:rowOff>33868</xdr:rowOff>
    </xdr:to>
    <xdr:graphicFrame macro="">
      <xdr:nvGraphicFramePr>
        <xdr:cNvPr id="5" name="RetentionDonut">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53398</xdr:colOff>
      <xdr:row>7</xdr:row>
      <xdr:rowOff>44930</xdr:rowOff>
    </xdr:from>
    <xdr:to>
      <xdr:col>2</xdr:col>
      <xdr:colOff>462823</xdr:colOff>
      <xdr:row>12</xdr:row>
      <xdr:rowOff>349420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2313731</xdr:colOff>
      <xdr:row>0</xdr:row>
      <xdr:rowOff>516450</xdr:rowOff>
    </xdr:from>
    <xdr:to>
      <xdr:col>12</xdr:col>
      <xdr:colOff>173182</xdr:colOff>
      <xdr:row>7</xdr:row>
      <xdr:rowOff>173182</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1397000</xdr:colOff>
      <xdr:row>2</xdr:row>
      <xdr:rowOff>0</xdr:rowOff>
    </xdr:from>
    <xdr:to>
      <xdr:col>19</xdr:col>
      <xdr:colOff>3746500</xdr:colOff>
      <xdr:row>13</xdr:row>
      <xdr:rowOff>285750</xdr:rowOff>
    </xdr:to>
    <xdr:graphicFrame macro="">
      <xdr:nvGraphicFramePr>
        <xdr:cNvPr id="4" name="Chart 3">
          <a:extLst>
            <a:ext uri="{FF2B5EF4-FFF2-40B4-BE49-F238E27FC236}">
              <a16:creationId xmlns:a16="http://schemas.microsoft.com/office/drawing/2014/main" id="{00000000-0008-0000-0200-000004000000}"/>
            </a:ext>
            <a:ext uri="{147F2762-F138-4A5C-976F-8EAC2B608ADB}">
              <a16:predDERef xmlns:a16="http://schemas.microsoft.com/office/drawing/2014/main" pre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13103318</xdr:colOff>
      <xdr:row>1</xdr:row>
      <xdr:rowOff>104823</xdr:rowOff>
    </xdr:from>
    <xdr:to>
      <xdr:col>20</xdr:col>
      <xdr:colOff>1104766</xdr:colOff>
      <xdr:row>5</xdr:row>
      <xdr:rowOff>29152</xdr:rowOff>
    </xdr:to>
    <xdr:pic>
      <xdr:nvPicPr>
        <xdr:cNvPr id="6" name="Picture 2">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48519000" y="537778"/>
          <a:ext cx="3146198" cy="1857904"/>
        </a:xfrm>
        <a:prstGeom prst="rect">
          <a:avLst/>
        </a:prstGeom>
        <a:ln>
          <a:prstDash val="solid"/>
        </a:ln>
      </xdr:spPr>
    </xdr:pic>
    <xdr:clientData/>
  </xdr:twoCellAnchor>
  <xdr:twoCellAnchor editAs="oneCell">
    <xdr:from>
      <xdr:col>17</xdr:col>
      <xdr:colOff>7908635</xdr:colOff>
      <xdr:row>2</xdr:row>
      <xdr:rowOff>167673</xdr:rowOff>
    </xdr:from>
    <xdr:to>
      <xdr:col>17</xdr:col>
      <xdr:colOff>13108220</xdr:colOff>
      <xdr:row>4</xdr:row>
      <xdr:rowOff>433329</xdr:rowOff>
    </xdr:to>
    <xdr:pic>
      <xdr:nvPicPr>
        <xdr:cNvPr id="9" name="Picture 3">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print"/>
        <a:stretch>
          <a:fillRect/>
        </a:stretch>
      </xdr:blipFill>
      <xdr:spPr>
        <a:xfrm>
          <a:off x="43324317" y="831537"/>
          <a:ext cx="5199585" cy="1494381"/>
        </a:xfrm>
        <a:prstGeom prst="rect">
          <a:avLst/>
        </a:prstGeom>
        <a:ln>
          <a:prstDash val="solid"/>
        </a:ln>
      </xdr:spPr>
    </xdr:pic>
    <xdr:clientData/>
  </xdr:twoCellAnchor>
  <mc:AlternateContent xmlns:mc="http://schemas.openxmlformats.org/markup-compatibility/2006">
    <mc:Choice xmlns:a14="http://schemas.microsoft.com/office/drawing/2010/main" Requires="a14">
      <xdr:twoCellAnchor editAs="oneCell">
        <xdr:from>
          <xdr:col>5</xdr:col>
          <xdr:colOff>2976339</xdr:colOff>
          <xdr:row>0</xdr:row>
          <xdr:rowOff>190501</xdr:rowOff>
        </xdr:from>
        <xdr:to>
          <xdr:col>5</xdr:col>
          <xdr:colOff>15499773</xdr:colOff>
          <xdr:row>9</xdr:row>
          <xdr:rowOff>33617</xdr:rowOff>
        </xdr:to>
        <xdr:pic>
          <xdr:nvPicPr>
            <xdr:cNvPr id="5" name="Picture 4">
              <a:extLst>
                <a:ext uri="{FF2B5EF4-FFF2-40B4-BE49-F238E27FC236}">
                  <a16:creationId xmlns:a16="http://schemas.microsoft.com/office/drawing/2014/main" id="{3D13136A-70D1-6F1B-F4B2-45135A20CD48}"/>
                </a:ext>
              </a:extLst>
            </xdr:cNvPr>
            <xdr:cNvPicPr>
              <a:picLocks noChangeAspect="1" noChangeArrowheads="1"/>
              <a:extLst>
                <a:ext uri="{84589F7E-364E-4C9E-8A38-B11213B215E9}">
                  <a14:cameraTool cellRange="Sheet1!$A$1:$E$7" spid="_x0000_s16977"/>
                </a:ext>
              </a:extLst>
            </xdr:cNvPicPr>
          </xdr:nvPicPr>
          <xdr:blipFill>
            <a:blip xmlns:r="http://schemas.openxmlformats.org/officeDocument/2006/relationships" r:embed="rId3"/>
            <a:srcRect/>
            <a:stretch>
              <a:fillRect/>
            </a:stretch>
          </xdr:blipFill>
          <xdr:spPr bwMode="auto">
            <a:xfrm>
              <a:off x="8280032" y="190501"/>
              <a:ext cx="12523434" cy="447573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15</xdr:col>
      <xdr:colOff>0</xdr:colOff>
      <xdr:row>1</xdr:row>
      <xdr:rowOff>0</xdr:rowOff>
    </xdr:from>
    <xdr:to>
      <xdr:col>17</xdr:col>
      <xdr:colOff>0</xdr:colOff>
      <xdr:row>9</xdr:row>
      <xdr:rowOff>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heme1">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 dockstate="right" visibility="0" width="350" row="3">
    <wetp:webextensionref xmlns:r="http://schemas.openxmlformats.org/officeDocument/2006/relationships" r:id="rId2"/>
  </wetp:taskpane>
  <wetp:taskpane dockstate="right" visibility="0" width="350" row="4">
    <wetp:webextensionref xmlns:r="http://schemas.openxmlformats.org/officeDocument/2006/relationships" r:id="rId3"/>
  </wetp:taskpane>
</wetp:taskpanes>
</file>

<file path=xl/webextensions/webextension1.xml><?xml version="1.0" encoding="utf-8"?>
<we:webextension xmlns:we="http://schemas.microsoft.com/office/webextensions/webextension/2010/11" id="{A7F66D99-0312-C748-BD2B-4A606DE5823D}">
  <we:reference id="WA200009404" version="1.0.0.8" store="Omex" storeType="OMEX"/>
  <we:alternateReferences>
    <we:reference id="WA200009404" version="1.0.0.8" store="WA200009404" storeType="OMEX"/>
  </we:alternateReferences>
  <we:properties>
    <we:property name="claude.fileId" value="&quot;0c0a0d1b-834a-444e-b8d9-37d15f0cba93&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4D68EEEC-8A57-49BC-AF60-5F9B8DDDEF71}">
  <we:reference id="wa200010215" version="2.0.0.0" store="en-US" storeType="OMEX"/>
  <we:alternateReferences>
    <we:reference id="WA200010215" version="2.0.0.0" store="WA200010215"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3.xml><?xml version="1.0" encoding="utf-8"?>
<we:webextension xmlns:we="http://schemas.microsoft.com/office/webextensions/webextension/2010/11" id="{D753CE29-7541-4DE5-BB9A-B4EA597D382A}">
  <we:reference id="wa200005502" version="1.0.0.13" store="en-US" storeType="OMEX"/>
  <we:alternateReferences>
    <we:reference id="WA200005502" version="1.0.0.13" store="WA200005502" storeType="OMEX"/>
  </we:alternateReferences>
  <we:properties>
    <we:property name="docId" value="&quot;MSyXZ5fADCFKVLTALns_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ksa1.aconex.com/hub/index.html?mainTarget=%2Frsrc%2F20260507.1116%2Fen_AU_DOC%2Fmail%2Fview%2Findex.html%231342178882%2F1391318710%3Fe2e%3Dnull" TargetMode="External"/><Relationship Id="rId13" Type="http://schemas.openxmlformats.org/officeDocument/2006/relationships/hyperlink" Target="https://ksa1.aconex.com/hub/index.html?mainTarget=%2Frsrc%2F20260507.1116%2Fen_AU_DOC%2Fmail%2Fview%2Findex.html%231342178882%2F1409257584%3Fe2e%3Dnull" TargetMode="External"/><Relationship Id="rId18" Type="http://schemas.openxmlformats.org/officeDocument/2006/relationships/drawing" Target="../drawings/drawing3.xml"/><Relationship Id="rId3" Type="http://schemas.openxmlformats.org/officeDocument/2006/relationships/hyperlink" Target="https://ksa1.aconex.com/hub/index.html?mainTarget=%2Frsrc%2F20260507.1116%2Fen_AU_DOC%2Fmail%2Fview%2Findex.html%231342178882%2F1385679121%3Fe2e%3Dnull" TargetMode="External"/><Relationship Id="rId7" Type="http://schemas.openxmlformats.org/officeDocument/2006/relationships/hyperlink" Target="https://ksa1.aconex.com/hub/index.html?mainTarget=%2Frsrc%2F20260507.1116%2Fen_AU_DOC%2Fmail%2Fview%2Findex.html%231342178882%2F1387474020%3Fe2e%3Dnull" TargetMode="External"/><Relationship Id="rId12" Type="http://schemas.openxmlformats.org/officeDocument/2006/relationships/hyperlink" Target="https://ksa1.aconex.com/hub/index.html?mainTarget=%2Frsrc%2F20260507.1116%2Fen_AU_DOC%2Fmail%2Fview%2Findex.html%231342178882%2F1405175010%3Fe2e%3Dnull" TargetMode="External"/><Relationship Id="rId17" Type="http://schemas.openxmlformats.org/officeDocument/2006/relationships/printerSettings" Target="../printerSettings/printerSettings4.bin"/><Relationship Id="rId2" Type="http://schemas.openxmlformats.org/officeDocument/2006/relationships/hyperlink" Target="https://ksa1.aconex.com/hub/index.html?mainTarget=%2Frsrc%2F20260507.1116%2Fen_AU_DOC%2Fmail%2Fview%2Findex.html%231342178882%2F1387419801%3Fe2e%3Dnull" TargetMode="External"/><Relationship Id="rId16" Type="http://schemas.openxmlformats.org/officeDocument/2006/relationships/hyperlink" Target="https://ksa1.aconex.com/hub/index.html?mainTarget=%2Frsrc%2F20260507.1116%2Fen_AU_DOC%2Fmail%2Fview%2Findex.html%231342178882%2F1412377547%3Fe2e%3Dnull" TargetMode="External"/><Relationship Id="rId20" Type="http://schemas.openxmlformats.org/officeDocument/2006/relationships/comments" Target="../comments1.xml"/><Relationship Id="rId1" Type="http://schemas.openxmlformats.org/officeDocument/2006/relationships/hyperlink" Target="https://ksa1.aconex.com/hub/index.html?mainTarget=%2Frsrc%2F20260507.1116%2Fen_AU_DOC%2Fmail%2Fview%2Findex.html%231342178882%2F1378988076%3Fe2e%3Dnull" TargetMode="External"/><Relationship Id="rId6" Type="http://schemas.openxmlformats.org/officeDocument/2006/relationships/hyperlink" Target="https://ksa1.aconex.com/hub/index.html?mainTarget=%2Frsrc%2F20260507.1116%2Fen_AU_DOC%2Fmail%2Fview%2Findex.html%231342178882%2F1381524216%3Fe2e%3Dnull" TargetMode="External"/><Relationship Id="rId11" Type="http://schemas.openxmlformats.org/officeDocument/2006/relationships/hyperlink" Target="https://ksa1.aconex.com/hub/index.html?mainTarget=%2Frsrc%2F20260507.1116%2Fen_AU_DOC%2Fmail%2Fview%2Findex.html%231342178882%2F1405174412%3Fe2e%3Dnull" TargetMode="External"/><Relationship Id="rId5" Type="http://schemas.openxmlformats.org/officeDocument/2006/relationships/hyperlink" Target="https://ksa1.aconex.com/hub/index.html?mainTarget=%2Frsrc%2F20260507.1116%2Fen_AU_DOC%2Fmail%2Fview%2Findex.html%231342178882%2F1385679121%3Fe2e%3Dnull" TargetMode="External"/><Relationship Id="rId15" Type="http://schemas.openxmlformats.org/officeDocument/2006/relationships/hyperlink" Target="https://ksa1.aconex.com/hub/index.html?mainTarget=%2Frsrc%2F20260507.1116%2Fen_AU_DOC%2Fmail%2Fview%2Findex.html%231342178882%2F1402576578%3Fe2e%3Dnull" TargetMode="External"/><Relationship Id="rId10" Type="http://schemas.openxmlformats.org/officeDocument/2006/relationships/hyperlink" Target="https://ksa1.aconex.com/hub/index.html?mainTarget=%2Frsrc%2F20260507.1116%2Fen_AU_DOC%2Fmail%2Fview%2Findex.html%231342178882%2F1405977299%3Fe2e%3Dnull" TargetMode="External"/><Relationship Id="rId19" Type="http://schemas.openxmlformats.org/officeDocument/2006/relationships/vmlDrawing" Target="../drawings/vmlDrawing1.vml"/><Relationship Id="rId4" Type="http://schemas.openxmlformats.org/officeDocument/2006/relationships/hyperlink" Target="https://ksa1.aconex.com/hub/index.html?mainTarget=%2Frsrc%2F20260507.1116%2Fen_AU_DOC%2Fmail%2Fview%2Findex.html%231342178882%2F1385679121%3Fe2e%3Dnull" TargetMode="External"/><Relationship Id="rId9" Type="http://schemas.openxmlformats.org/officeDocument/2006/relationships/hyperlink" Target="https://ksa1.aconex.com/hub/index.html?mainTarget=%2Frsrc%2F20260507.1116%2Fen_AU_DOC%2Fmail%2Fview%2Findex.html%231342178882%2F1402496640%3Fe2e%3Dnull" TargetMode="External"/><Relationship Id="rId14" Type="http://schemas.openxmlformats.org/officeDocument/2006/relationships/hyperlink" Target="https://ksa1.aconex.com/hub/index.html?mainTarget=%2Frsrc%2F20260507.1116%2Fen_AU_DOC%2Fmail%2Fview%2Findex.html%231342178882%2F1407381472%3Fe2e%3Dnull"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J60"/>
  <sheetViews>
    <sheetView view="pageBreakPreview" topLeftCell="A4" zoomScaleNormal="100" workbookViewId="0">
      <selection activeCell="I16" sqref="I16"/>
    </sheetView>
  </sheetViews>
  <sheetFormatPr baseColWidth="10" defaultColWidth="10.83203125" defaultRowHeight="15" outlineLevelCol="1"/>
  <cols>
    <col min="1" max="1" width="3.1640625" style="405" customWidth="1"/>
    <col min="2" max="2" width="24" style="405" customWidth="1"/>
    <col min="3" max="3" width="4.1640625" style="405" customWidth="1"/>
    <col min="4" max="4" width="2.83203125" style="405" customWidth="1"/>
    <col min="5" max="5" width="14.5" style="405" customWidth="1"/>
    <col min="6" max="6" width="10" style="405" customWidth="1"/>
    <col min="7" max="7" width="24.1640625" style="405" customWidth="1"/>
    <col min="8" max="8" width="2.5" style="405" customWidth="1"/>
    <col min="9" max="9" width="13.5" style="405" customWidth="1"/>
    <col min="10" max="10" width="3" style="405" customWidth="1"/>
    <col min="11" max="11" width="2.5" style="405" customWidth="1"/>
    <col min="12" max="12" width="26.83203125" style="405" customWidth="1"/>
    <col min="13" max="13" width="1.1640625" style="405" customWidth="1"/>
    <col min="14" max="14" width="4.83203125" style="405" customWidth="1"/>
    <col min="15" max="15" width="13" style="405" customWidth="1"/>
    <col min="16" max="16" width="8.5" style="405" customWidth="1"/>
    <col min="17" max="17" width="22.83203125" style="405" customWidth="1"/>
    <col min="18" max="18" width="1" style="405" customWidth="1"/>
    <col min="19" max="19" width="13.5" style="405" customWidth="1"/>
    <col min="20" max="20" width="12.5" style="405" customWidth="1"/>
    <col min="21" max="21" width="0.1640625" style="405" customWidth="1"/>
    <col min="22" max="22" width="2.5" style="405" customWidth="1"/>
    <col min="23" max="25" width="0.1640625" style="405" hidden="1" customWidth="1" outlineLevel="1"/>
    <col min="26" max="26" width="10.83203125" style="405" hidden="1" customWidth="1" collapsed="1"/>
    <col min="27" max="28" width="0.1640625" style="405" hidden="1" customWidth="1" outlineLevel="1"/>
    <col min="29" max="29" width="0.1640625" style="405" hidden="1" customWidth="1" outlineLevel="1" collapsed="1"/>
    <col min="30" max="30" width="0.1640625" style="405" hidden="1" customWidth="1" outlineLevel="1"/>
    <col min="31" max="31" width="0.1640625" style="405" hidden="1" customWidth="1" outlineLevel="1" collapsed="1"/>
    <col min="32" max="32" width="19.1640625" style="405" hidden="1" customWidth="1" outlineLevel="1"/>
    <col min="33" max="33" width="10.83203125" style="405" hidden="1" customWidth="1" collapsed="1"/>
    <col min="34" max="36" width="10.83203125" style="405" hidden="1" customWidth="1"/>
    <col min="37" max="16384" width="10.83203125" style="405"/>
  </cols>
  <sheetData>
    <row r="1" spans="1:36" ht="24" customHeight="1">
      <c r="A1" s="406"/>
      <c r="B1" s="406"/>
      <c r="C1" s="406"/>
      <c r="D1" s="406"/>
      <c r="E1" s="406"/>
      <c r="F1" s="406"/>
      <c r="G1" s="406"/>
      <c r="H1" s="406"/>
      <c r="I1" s="406"/>
      <c r="J1" s="406"/>
      <c r="K1" s="406"/>
      <c r="L1" s="406"/>
      <c r="M1" s="406"/>
      <c r="N1" s="406"/>
      <c r="O1" s="406"/>
      <c r="P1" s="406"/>
      <c r="Q1" s="406"/>
      <c r="R1" s="406"/>
      <c r="S1" s="406"/>
      <c r="T1" s="406"/>
      <c r="U1" s="407"/>
      <c r="V1" s="407"/>
    </row>
    <row r="2" spans="1:36" ht="38" customHeight="1">
      <c r="A2" s="406"/>
      <c r="B2" s="408"/>
      <c r="C2" s="409"/>
      <c r="D2" s="410" t="s">
        <v>0</v>
      </c>
      <c r="E2" s="409"/>
      <c r="F2" s="409"/>
      <c r="G2" s="409"/>
      <c r="H2" s="409"/>
      <c r="I2" s="409"/>
      <c r="J2" s="409"/>
      <c r="K2" s="409"/>
      <c r="L2" s="409"/>
      <c r="M2" s="409"/>
      <c r="N2" s="409"/>
      <c r="O2" s="409"/>
      <c r="P2" s="409"/>
      <c r="Q2" s="409"/>
      <c r="R2" s="411">
        <f ca="1">TODAY()</f>
        <v>46232</v>
      </c>
      <c r="S2" s="409"/>
      <c r="T2" s="409"/>
      <c r="U2" s="407"/>
      <c r="V2" s="407"/>
    </row>
    <row r="3" spans="1:36" ht="22" customHeight="1">
      <c r="A3" s="406"/>
      <c r="B3" s="412" t="s">
        <v>1</v>
      </c>
      <c r="C3" s="413"/>
      <c r="D3" s="414" t="s">
        <v>2</v>
      </c>
      <c r="E3" s="413"/>
      <c r="F3" s="413"/>
      <c r="G3" s="413"/>
      <c r="H3" s="413"/>
      <c r="I3" s="413"/>
      <c r="J3" s="413"/>
      <c r="K3" s="413"/>
      <c r="L3" s="413"/>
      <c r="M3" s="413"/>
      <c r="N3" s="413"/>
      <c r="O3" s="413"/>
      <c r="P3" s="413"/>
      <c r="Q3" s="413"/>
      <c r="R3" s="415" t="str">
        <f>"REF: "&amp;'Payment Register'!A46&amp;"  ·  COMMERCIAL TEAM FFC"</f>
        <v>REF: IPA 28  ·  COMMERCIAL TEAM FFC</v>
      </c>
      <c r="S3" s="413"/>
      <c r="T3" s="413"/>
      <c r="U3" s="407"/>
      <c r="V3" s="407"/>
    </row>
    <row r="4" spans="1:36" ht="14" customHeight="1">
      <c r="A4" s="406"/>
      <c r="B4" s="416"/>
      <c r="C4" s="416"/>
      <c r="D4" s="416"/>
      <c r="E4" s="416"/>
      <c r="F4" s="416"/>
      <c r="G4" s="416"/>
      <c r="H4" s="416"/>
      <c r="I4" s="416"/>
      <c r="J4" s="416"/>
      <c r="K4" s="416"/>
      <c r="L4" s="416"/>
      <c r="M4" s="416"/>
      <c r="N4" s="416"/>
      <c r="O4" s="416"/>
      <c r="P4" s="416"/>
      <c r="Q4" s="416"/>
      <c r="R4" s="416"/>
      <c r="S4" s="416"/>
      <c r="T4" s="416"/>
      <c r="U4" s="417"/>
      <c r="V4" s="407"/>
    </row>
    <row r="5" spans="1:36" s="404" customFormat="1" ht="30" customHeight="1">
      <c r="A5" s="406"/>
      <c r="B5" s="406"/>
      <c r="C5" s="406"/>
      <c r="D5" s="406"/>
      <c r="E5" s="406"/>
      <c r="F5" s="406"/>
      <c r="G5" s="406"/>
      <c r="H5" s="406"/>
      <c r="I5" s="406"/>
      <c r="J5" s="406"/>
      <c r="K5" s="406"/>
      <c r="L5" s="406"/>
      <c r="M5" s="406"/>
      <c r="N5" s="406"/>
      <c r="O5" s="406"/>
      <c r="P5" s="406"/>
      <c r="Q5" s="406"/>
      <c r="R5" s="406"/>
      <c r="S5" s="406"/>
      <c r="T5" s="406"/>
      <c r="U5" s="407"/>
      <c r="V5" s="407"/>
      <c r="W5" s="405"/>
      <c r="X5" s="405"/>
      <c r="Y5" s="405"/>
      <c r="Z5" s="405"/>
      <c r="AA5" s="405"/>
      <c r="AB5" s="405"/>
      <c r="AC5" s="405"/>
      <c r="AD5" s="405"/>
      <c r="AE5" s="405"/>
      <c r="AF5" s="405"/>
      <c r="AG5" s="405"/>
      <c r="AH5" s="405"/>
      <c r="AI5" s="405"/>
      <c r="AJ5" s="405"/>
    </row>
    <row r="6" spans="1:36" ht="24" customHeight="1">
      <c r="A6" s="406"/>
      <c r="B6" s="418" t="s">
        <v>3</v>
      </c>
      <c r="C6" s="419" t="s">
        <v>4</v>
      </c>
      <c r="D6" s="420"/>
      <c r="E6" s="420"/>
      <c r="F6" s="420"/>
      <c r="G6" s="420"/>
      <c r="H6" s="420"/>
      <c r="I6" s="420"/>
      <c r="J6" s="420"/>
      <c r="K6" s="420"/>
      <c r="L6" s="420"/>
      <c r="M6" s="420"/>
      <c r="N6" s="420"/>
      <c r="O6" s="420"/>
      <c r="P6" s="420"/>
      <c r="Q6" s="420"/>
      <c r="R6" s="420"/>
      <c r="S6" s="420"/>
      <c r="T6" s="420"/>
      <c r="U6" s="407"/>
      <c r="V6" s="407"/>
    </row>
    <row r="7" spans="1:36" ht="8" customHeight="1">
      <c r="A7" s="406"/>
      <c r="B7" s="421"/>
      <c r="C7" s="421"/>
      <c r="D7" s="421"/>
      <c r="E7" s="421"/>
      <c r="F7" s="406"/>
      <c r="G7" s="421"/>
      <c r="H7" s="421"/>
      <c r="I7" s="421"/>
      <c r="J7" s="421"/>
      <c r="K7" s="406"/>
      <c r="L7" s="421"/>
      <c r="M7" s="421"/>
      <c r="N7" s="421"/>
      <c r="O7" s="421"/>
      <c r="P7" s="406"/>
      <c r="Q7" s="421"/>
      <c r="R7" s="421"/>
      <c r="S7" s="421"/>
      <c r="T7" s="421"/>
      <c r="U7" s="422"/>
      <c r="V7" s="407"/>
    </row>
    <row r="8" spans="1:36" ht="28" customHeight="1">
      <c r="A8" s="406"/>
      <c r="B8" s="423" t="s">
        <v>5</v>
      </c>
      <c r="C8" s="424"/>
      <c r="D8" s="424"/>
      <c r="E8" s="424"/>
      <c r="F8" s="425"/>
      <c r="G8" s="426" t="s">
        <v>6</v>
      </c>
      <c r="H8" s="427"/>
      <c r="I8" s="427"/>
      <c r="J8" s="428" t="str">
        <f>"+"&amp;TEXT(('Payment Register'!D5-217501556.12)/217501556.12,"0.00%")&amp;" vs ORIGINAL"</f>
        <v>+7.06% vs ORIGINAL</v>
      </c>
      <c r="K8" s="425"/>
      <c r="L8" s="429" t="s">
        <v>7</v>
      </c>
      <c r="M8" s="430"/>
      <c r="N8" s="430"/>
      <c r="O8" s="431">
        <f>'Payment Register'!E12</f>
        <v>0.95356091385060848</v>
      </c>
      <c r="P8" s="425"/>
      <c r="Q8" s="432" t="s">
        <v>8</v>
      </c>
      <c r="R8" s="433"/>
      <c r="S8" s="433"/>
      <c r="T8" s="434">
        <f>1-'Payment Register'!E12</f>
        <v>4.6439086149391517E-2</v>
      </c>
      <c r="U8" s="435"/>
      <c r="V8" s="407"/>
    </row>
    <row r="9" spans="1:36" ht="50" customHeight="1">
      <c r="A9" s="406"/>
      <c r="B9" s="436">
        <v>217501556.12</v>
      </c>
      <c r="C9" s="424"/>
      <c r="D9" s="424"/>
      <c r="E9" s="424"/>
      <c r="F9" s="437"/>
      <c r="G9" s="438">
        <f>'Payment Register'!D5</f>
        <v>232860904.00218076</v>
      </c>
      <c r="H9" s="427"/>
      <c r="I9" s="427"/>
      <c r="J9" s="427"/>
      <c r="K9" s="437"/>
      <c r="L9" s="439">
        <f>'Payment Register'!D12</f>
        <v>222047056.42039829</v>
      </c>
      <c r="M9" s="430"/>
      <c r="N9" s="430"/>
      <c r="O9" s="430"/>
      <c r="P9" s="437"/>
      <c r="Q9" s="440">
        <f>'Payment Register'!D13</f>
        <v>10813847.58178246</v>
      </c>
      <c r="R9" s="433"/>
      <c r="S9" s="433"/>
      <c r="T9" s="433"/>
      <c r="U9" s="435"/>
      <c r="V9" s="407"/>
    </row>
    <row r="10" spans="1:36" ht="22" customHeight="1">
      <c r="A10" s="406"/>
      <c r="B10" s="423" t="s">
        <v>9</v>
      </c>
      <c r="C10" s="424"/>
      <c r="D10" s="424"/>
      <c r="E10" s="424"/>
      <c r="F10" s="437"/>
      <c r="G10" s="426" t="s">
        <v>10</v>
      </c>
      <c r="H10" s="427"/>
      <c r="I10" s="427"/>
      <c r="J10" s="427"/>
      <c r="K10" s="437"/>
      <c r="L10" s="429" t="s">
        <v>11</v>
      </c>
      <c r="M10" s="430"/>
      <c r="N10" s="430"/>
      <c r="O10" s="430"/>
      <c r="P10" s="437"/>
      <c r="Q10" s="432" t="s">
        <v>12</v>
      </c>
      <c r="R10" s="433"/>
      <c r="S10" s="433"/>
      <c r="T10" s="433"/>
      <c r="U10" s="435"/>
      <c r="V10" s="407"/>
    </row>
    <row r="11" spans="1:36" ht="18" customHeight="1">
      <c r="A11" s="406"/>
      <c r="B11" s="406"/>
      <c r="C11" s="406"/>
      <c r="D11" s="406"/>
      <c r="E11" s="406"/>
      <c r="F11" s="406"/>
      <c r="G11" s="406"/>
      <c r="H11" s="406"/>
      <c r="I11" s="406"/>
      <c r="J11" s="406"/>
      <c r="K11" s="406"/>
      <c r="L11" s="406"/>
      <c r="M11" s="406"/>
      <c r="N11" s="406"/>
      <c r="O11" s="406"/>
      <c r="P11" s="406"/>
      <c r="Q11" s="406"/>
      <c r="R11" s="406"/>
      <c r="S11" s="406"/>
      <c r="T11" s="406"/>
      <c r="U11" s="407"/>
      <c r="V11" s="407"/>
    </row>
    <row r="12" spans="1:36" ht="28" customHeight="1">
      <c r="A12" s="406"/>
      <c r="B12" s="418" t="s">
        <v>13</v>
      </c>
      <c r="C12" s="441" t="s">
        <v>14</v>
      </c>
      <c r="D12" s="420"/>
      <c r="E12" s="420"/>
      <c r="F12" s="420"/>
      <c r="G12" s="420"/>
      <c r="H12" s="420"/>
      <c r="I12" s="420"/>
      <c r="J12" s="442"/>
      <c r="K12" s="406"/>
      <c r="L12" s="418" t="s">
        <v>15</v>
      </c>
      <c r="M12" s="441" t="s">
        <v>16</v>
      </c>
      <c r="N12" s="443"/>
      <c r="O12" s="443"/>
      <c r="P12" s="420"/>
      <c r="Q12" s="420"/>
      <c r="R12" s="420"/>
      <c r="S12" s="420"/>
      <c r="T12" s="420"/>
      <c r="U12" s="407"/>
      <c r="V12" s="407"/>
    </row>
    <row r="13" spans="1:36" ht="8" customHeight="1">
      <c r="A13" s="406"/>
      <c r="B13" s="406"/>
      <c r="C13" s="406"/>
      <c r="D13" s="406"/>
      <c r="E13" s="406"/>
      <c r="F13" s="406"/>
      <c r="G13" s="406"/>
      <c r="H13" s="406"/>
      <c r="I13" s="406"/>
      <c r="J13" s="406"/>
      <c r="K13" s="444"/>
      <c r="L13" s="406"/>
      <c r="M13" s="406"/>
      <c r="N13" s="406"/>
      <c r="O13" s="406"/>
      <c r="P13" s="406"/>
      <c r="Q13" s="406"/>
      <c r="R13" s="406"/>
      <c r="S13" s="406"/>
      <c r="T13" s="406"/>
      <c r="U13" s="407"/>
      <c r="V13" s="407"/>
    </row>
    <row r="14" spans="1:36" ht="22" customHeight="1">
      <c r="A14" s="406"/>
      <c r="B14" s="445" t="s">
        <v>17</v>
      </c>
      <c r="C14" s="446"/>
      <c r="D14" s="446"/>
      <c r="E14" s="446"/>
      <c r="F14" s="445" t="s">
        <v>18</v>
      </c>
      <c r="G14" s="445" t="s">
        <v>19</v>
      </c>
      <c r="H14" s="446"/>
      <c r="I14" s="445" t="s">
        <v>20</v>
      </c>
      <c r="J14" s="447"/>
      <c r="K14" s="406"/>
      <c r="L14" s="448" t="s">
        <v>17</v>
      </c>
      <c r="M14" s="449"/>
      <c r="N14" s="449"/>
      <c r="O14" s="449"/>
      <c r="P14" s="449"/>
      <c r="Q14" s="448" t="s">
        <v>21</v>
      </c>
      <c r="R14" s="449"/>
      <c r="S14" s="448" t="s">
        <v>22</v>
      </c>
      <c r="T14" s="449"/>
      <c r="U14" s="450"/>
      <c r="V14" s="407"/>
    </row>
    <row r="15" spans="1:36" ht="22" customHeight="1">
      <c r="A15" s="406"/>
      <c r="B15" s="451" t="s">
        <v>23</v>
      </c>
      <c r="C15" s="452"/>
      <c r="D15" s="452"/>
      <c r="E15" s="452"/>
      <c r="F15" s="453">
        <f>'Payment Register'!E12</f>
        <v>0.95356091385060848</v>
      </c>
      <c r="G15" s="454">
        <f>'Payment Register'!D12</f>
        <v>222047056.42039829</v>
      </c>
      <c r="H15" s="452"/>
      <c r="I15" s="454">
        <f>'Payment Summary'!G20</f>
        <v>165651426.89739367</v>
      </c>
      <c r="J15" s="452"/>
      <c r="K15" s="437"/>
      <c r="L15" s="455" t="s">
        <v>24</v>
      </c>
      <c r="M15" s="456"/>
      <c r="N15" s="456"/>
      <c r="O15" s="456"/>
      <c r="P15" s="456"/>
      <c r="Q15" s="457">
        <f>Sheet1!D7</f>
        <v>74</v>
      </c>
      <c r="R15" s="456"/>
      <c r="S15" s="458">
        <f>Sheet1!E7</f>
        <v>25035631.619394299</v>
      </c>
      <c r="T15" s="456"/>
      <c r="U15" s="459"/>
      <c r="V15" s="407"/>
    </row>
    <row r="16" spans="1:36" ht="36" customHeight="1">
      <c r="A16" s="406"/>
      <c r="B16" s="460" t="s">
        <v>25</v>
      </c>
      <c r="C16" s="461"/>
      <c r="D16" s="461"/>
      <c r="E16" s="461"/>
      <c r="F16" s="462">
        <f>'Payment Register'!E10</f>
        <v>0.93965367137035094</v>
      </c>
      <c r="G16" s="463">
        <f>'Payment Register'!D10</f>
        <v>218808603.364268</v>
      </c>
      <c r="H16" s="461"/>
      <c r="I16" s="463">
        <f>'Payment Summary'!G21</f>
        <v>165651426.89739367</v>
      </c>
      <c r="J16" s="461"/>
      <c r="K16" s="437"/>
      <c r="L16" s="464" t="s">
        <v>26</v>
      </c>
      <c r="M16" s="465"/>
      <c r="N16" s="465"/>
      <c r="O16" s="465"/>
      <c r="P16" s="465"/>
      <c r="Q16" s="466">
        <f>Sheet1!$D$1</f>
        <v>9</v>
      </c>
      <c r="R16" s="465"/>
      <c r="S16" s="467">
        <f>Sheet1!$E$1</f>
        <v>0</v>
      </c>
      <c r="T16" s="465"/>
      <c r="U16" s="468"/>
      <c r="V16" s="407"/>
    </row>
    <row r="17" spans="1:22" ht="36" customHeight="1">
      <c r="A17" s="406"/>
      <c r="B17" s="469" t="s">
        <v>27</v>
      </c>
      <c r="C17" s="470"/>
      <c r="D17" s="470"/>
      <c r="E17" s="470"/>
      <c r="F17" s="471">
        <f>'Payment Register'!E9</f>
        <v>1.3907242480257535E-2</v>
      </c>
      <c r="G17" s="472">
        <f>'Payment Register'!D9</f>
        <v>3238453.0561303003</v>
      </c>
      <c r="H17" s="470"/>
      <c r="I17" s="472">
        <f>'Payment Summary'!G22</f>
        <v>0</v>
      </c>
      <c r="J17" s="470"/>
      <c r="K17" s="437"/>
      <c r="L17" s="473" t="s">
        <v>28</v>
      </c>
      <c r="M17" s="474"/>
      <c r="N17" s="474"/>
      <c r="O17" s="474"/>
      <c r="P17" s="474"/>
      <c r="Q17" s="475">
        <f>Sheet1!$D$2</f>
        <v>22</v>
      </c>
      <c r="R17" s="474"/>
      <c r="S17" s="476">
        <f>Sheet1!$E$2</f>
        <v>2991535.5681105321</v>
      </c>
      <c r="T17" s="474"/>
      <c r="U17" s="477"/>
      <c r="V17" s="407"/>
    </row>
    <row r="18" spans="1:22" ht="36" customHeight="1">
      <c r="A18" s="406"/>
      <c r="B18" s="469" t="s">
        <v>29</v>
      </c>
      <c r="C18" s="470"/>
      <c r="D18" s="470"/>
      <c r="E18" s="470"/>
      <c r="F18" s="471">
        <f>'Payment Register'!E8</f>
        <v>0</v>
      </c>
      <c r="G18" s="472">
        <f>'Payment Register'!D8</f>
        <v>0</v>
      </c>
      <c r="H18" s="470"/>
      <c r="I18" s="472">
        <f>'Payment Summary'!G23</f>
        <v>0</v>
      </c>
      <c r="J18" s="470"/>
      <c r="K18" s="437"/>
      <c r="L18" s="473" t="s">
        <v>30</v>
      </c>
      <c r="M18" s="474"/>
      <c r="N18" s="474"/>
      <c r="O18" s="474"/>
      <c r="P18" s="474"/>
      <c r="Q18" s="475">
        <f>Sheet1!$D$3</f>
        <v>4</v>
      </c>
      <c r="R18" s="474"/>
      <c r="S18" s="476">
        <f>Sheet1!$E$3</f>
        <v>6684748.165000001</v>
      </c>
      <c r="T18" s="474"/>
      <c r="U18" s="477"/>
      <c r="V18" s="407"/>
    </row>
    <row r="19" spans="1:22" ht="36" customHeight="1">
      <c r="A19" s="406"/>
      <c r="B19" s="469" t="s">
        <v>31</v>
      </c>
      <c r="C19" s="470"/>
      <c r="D19" s="470"/>
      <c r="E19" s="470"/>
      <c r="F19" s="471">
        <f>'Payment Register'!E7</f>
        <v>1.1579357253284983E-2</v>
      </c>
      <c r="G19" s="472">
        <f>'Payment Register'!D7</f>
        <v>2696379.5977641498</v>
      </c>
      <c r="H19" s="470"/>
      <c r="I19" s="472">
        <f>'Payment Summary'!G24</f>
        <v>0</v>
      </c>
      <c r="J19" s="470"/>
      <c r="K19" s="437"/>
      <c r="L19" s="478" t="s">
        <v>32</v>
      </c>
      <c r="M19" s="474"/>
      <c r="N19" s="474"/>
      <c r="O19" s="474"/>
      <c r="P19" s="474"/>
      <c r="Q19" s="479">
        <f>Sheet1!$D$4</f>
        <v>18</v>
      </c>
      <c r="R19" s="474"/>
      <c r="S19" s="480">
        <f>Sheet1!$E$4</f>
        <v>-23074.748717714716</v>
      </c>
      <c r="T19" s="474"/>
      <c r="U19" s="477"/>
      <c r="V19" s="407"/>
    </row>
    <row r="20" spans="1:22" ht="36" customHeight="1">
      <c r="A20" s="406"/>
      <c r="B20" s="481" t="s">
        <v>33</v>
      </c>
      <c r="C20" s="482"/>
      <c r="D20" s="482"/>
      <c r="E20" s="482"/>
      <c r="F20" s="483">
        <f>1-'Payment Register'!E12</f>
        <v>4.6439086149391517E-2</v>
      </c>
      <c r="G20" s="923">
        <f>'Payment Register'!D13</f>
        <v>10813847.58178246</v>
      </c>
      <c r="H20" s="923"/>
      <c r="I20" s="923"/>
      <c r="J20" s="484"/>
      <c r="K20" s="406"/>
      <c r="L20" s="485" t="s">
        <v>34</v>
      </c>
      <c r="M20" s="486"/>
      <c r="N20" s="486"/>
      <c r="O20" s="486"/>
      <c r="P20" s="486"/>
      <c r="Q20" s="487">
        <f>Sheet1!$D$5</f>
        <v>8</v>
      </c>
      <c r="R20" s="486"/>
      <c r="S20" s="488">
        <f>Sheet1!$E$5</f>
        <v>-362299.9723801082</v>
      </c>
      <c r="T20" s="486"/>
      <c r="U20" s="489"/>
      <c r="V20" s="407"/>
    </row>
    <row r="21" spans="1:22" ht="14" customHeight="1">
      <c r="A21" s="406"/>
      <c r="B21" s="406"/>
      <c r="C21" s="406"/>
      <c r="D21" s="406"/>
      <c r="E21" s="406"/>
      <c r="F21" s="406"/>
      <c r="G21" s="406"/>
      <c r="H21" s="406"/>
      <c r="I21" s="406"/>
      <c r="J21" s="406"/>
      <c r="K21" s="406"/>
      <c r="L21" s="406"/>
      <c r="M21" s="406"/>
      <c r="N21" s="406"/>
      <c r="O21" s="406"/>
      <c r="P21" s="406"/>
      <c r="Q21" s="406"/>
      <c r="R21" s="406"/>
      <c r="S21" s="406"/>
      <c r="T21" s="406"/>
      <c r="U21" s="407"/>
      <c r="V21" s="407"/>
    </row>
    <row r="22" spans="1:22" ht="28" customHeight="1">
      <c r="A22" s="406"/>
      <c r="B22" s="418" t="s">
        <v>35</v>
      </c>
      <c r="C22" s="441" t="s">
        <v>36</v>
      </c>
      <c r="D22" s="420"/>
      <c r="E22" s="420"/>
      <c r="F22" s="420"/>
      <c r="G22" s="420"/>
      <c r="H22" s="420"/>
      <c r="I22" s="420"/>
      <c r="J22" s="442"/>
      <c r="K22" s="406"/>
      <c r="L22" s="418" t="s">
        <v>37</v>
      </c>
      <c r="M22" s="441" t="s">
        <v>38</v>
      </c>
      <c r="N22" s="443"/>
      <c r="O22" s="443"/>
      <c r="P22" s="420"/>
      <c r="Q22" s="420"/>
      <c r="R22" s="420"/>
      <c r="S22" s="420"/>
      <c r="T22" s="420"/>
      <c r="U22" s="407"/>
      <c r="V22" s="407"/>
    </row>
    <row r="23" spans="1:22" ht="8" customHeight="1">
      <c r="A23" s="406"/>
      <c r="B23" s="421"/>
      <c r="C23" s="421"/>
      <c r="D23" s="421"/>
      <c r="E23" s="421"/>
      <c r="F23" s="421"/>
      <c r="G23" s="421"/>
      <c r="H23" s="421"/>
      <c r="I23" s="421"/>
      <c r="J23" s="421"/>
      <c r="K23" s="444"/>
      <c r="L23" s="421"/>
      <c r="M23" s="421"/>
      <c r="N23" s="421"/>
      <c r="O23" s="421"/>
      <c r="P23" s="421"/>
      <c r="Q23" s="421"/>
      <c r="R23" s="421"/>
      <c r="S23" s="421"/>
      <c r="T23" s="421"/>
      <c r="U23" s="422"/>
      <c r="V23" s="407"/>
    </row>
    <row r="24" spans="1:22" ht="22" customHeight="1">
      <c r="A24" s="406"/>
      <c r="B24" s="490" t="s">
        <v>39</v>
      </c>
      <c r="C24" s="491"/>
      <c r="D24" s="491"/>
      <c r="E24" s="492">
        <f>'Payment Register'!I4</f>
        <v>0.32090000000000002</v>
      </c>
      <c r="F24" s="491"/>
      <c r="G24" s="491"/>
      <c r="H24" s="491"/>
      <c r="I24" s="491"/>
      <c r="J24" s="491"/>
      <c r="K24" s="437"/>
      <c r="L24" s="493" t="s">
        <v>40</v>
      </c>
      <c r="M24" s="494"/>
      <c r="N24" s="494"/>
      <c r="O24" s="493" t="s">
        <v>41</v>
      </c>
      <c r="P24" s="494"/>
      <c r="Q24" s="494"/>
      <c r="R24" s="494"/>
      <c r="S24" s="494"/>
      <c r="T24" s="494"/>
      <c r="U24" s="407"/>
      <c r="V24" s="407"/>
    </row>
    <row r="25" spans="1:22" ht="40" customHeight="1">
      <c r="A25" s="406"/>
      <c r="B25" s="495">
        <v>65250466.829999998</v>
      </c>
      <c r="C25" s="491"/>
      <c r="D25" s="491"/>
      <c r="E25" s="491"/>
      <c r="F25" s="491"/>
      <c r="G25" s="491"/>
      <c r="H25" s="491"/>
      <c r="I25" s="491"/>
      <c r="J25" s="491"/>
      <c r="K25" s="437"/>
      <c r="L25" s="496">
        <f>'Payment Register'!H9</f>
        <v>11643045.200109039</v>
      </c>
      <c r="M25" s="494"/>
      <c r="N25" s="494"/>
      <c r="O25" s="494"/>
      <c r="P25" s="494"/>
      <c r="Q25" s="494"/>
      <c r="R25" s="494"/>
      <c r="S25" s="494"/>
      <c r="T25" s="494"/>
      <c r="U25" s="407"/>
      <c r="V25" s="407"/>
    </row>
    <row r="26" spans="1:22" ht="22" customHeight="1">
      <c r="A26" s="406"/>
      <c r="B26" s="490" t="s">
        <v>9</v>
      </c>
      <c r="C26" s="491"/>
      <c r="D26" s="491"/>
      <c r="E26" s="491"/>
      <c r="F26" s="491"/>
      <c r="G26" s="491"/>
      <c r="H26" s="491"/>
      <c r="I26" s="491"/>
      <c r="J26" s="491"/>
      <c r="K26" s="437"/>
      <c r="L26" s="493" t="s">
        <v>9</v>
      </c>
      <c r="M26" s="494"/>
      <c r="N26" s="494"/>
      <c r="O26" s="494"/>
      <c r="P26" s="494"/>
      <c r="Q26" s="494"/>
      <c r="R26" s="494"/>
      <c r="S26" s="494"/>
      <c r="T26" s="494"/>
      <c r="U26" s="407"/>
      <c r="V26" s="407"/>
    </row>
    <row r="27" spans="1:22" ht="14" customHeight="1">
      <c r="A27" s="406"/>
      <c r="B27" s="406"/>
      <c r="C27" s="406"/>
      <c r="D27" s="406"/>
      <c r="E27" s="406"/>
      <c r="F27" s="406"/>
      <c r="G27" s="406"/>
      <c r="H27" s="406"/>
      <c r="I27" s="406"/>
      <c r="J27" s="406"/>
      <c r="K27" s="437"/>
      <c r="L27" s="406"/>
      <c r="M27" s="406"/>
      <c r="N27" s="406"/>
      <c r="O27" s="406"/>
      <c r="P27" s="406"/>
      <c r="Q27" s="406"/>
      <c r="R27" s="406"/>
      <c r="S27" s="406"/>
      <c r="T27" s="406"/>
      <c r="U27" s="407"/>
      <c r="V27" s="407"/>
    </row>
    <row r="28" spans="1:22" ht="22" customHeight="1">
      <c r="A28" s="406"/>
      <c r="B28" s="497" t="s">
        <v>42</v>
      </c>
      <c r="C28" s="498"/>
      <c r="D28" s="498"/>
      <c r="E28" s="497" t="s">
        <v>18</v>
      </c>
      <c r="F28" s="498"/>
      <c r="G28" s="498"/>
      <c r="H28" s="498"/>
      <c r="I28" s="498"/>
      <c r="J28" s="498"/>
      <c r="K28" s="437"/>
      <c r="L28" s="499" t="s">
        <v>42</v>
      </c>
      <c r="M28" s="456"/>
      <c r="N28" s="456"/>
      <c r="O28" s="499" t="s">
        <v>18</v>
      </c>
      <c r="P28" s="456"/>
      <c r="Q28" s="456"/>
      <c r="R28" s="456"/>
      <c r="S28" s="456"/>
      <c r="T28" s="456"/>
      <c r="U28" s="407"/>
      <c r="V28" s="407"/>
    </row>
    <row r="29" spans="1:22" ht="32" customHeight="1">
      <c r="A29" s="406"/>
      <c r="B29" s="500">
        <f>'Payment Register'!H5</f>
        <v>65250466.802618816</v>
      </c>
      <c r="C29" s="498"/>
      <c r="D29" s="498"/>
      <c r="E29" s="501">
        <f>'Payment Register'!I5</f>
        <v>0.99999999953164198</v>
      </c>
      <c r="F29" s="498"/>
      <c r="G29" s="498"/>
      <c r="H29" s="498"/>
      <c r="I29" s="498"/>
      <c r="J29" s="498"/>
      <c r="K29" s="437"/>
      <c r="L29" s="502">
        <f>'Payment Register'!H10</f>
        <v>11102352.801309438</v>
      </c>
      <c r="M29" s="456"/>
      <c r="N29" s="456"/>
      <c r="O29" s="503">
        <f>'Payment Register'!I10</f>
        <v>0.95356091215771144</v>
      </c>
      <c r="P29" s="456"/>
      <c r="Q29" s="456"/>
      <c r="R29" s="456"/>
      <c r="S29" s="456"/>
      <c r="T29" s="456"/>
      <c r="U29" s="407"/>
      <c r="V29" s="407"/>
    </row>
    <row r="30" spans="1:22" ht="14" customHeight="1">
      <c r="A30" s="406"/>
      <c r="B30" s="504"/>
      <c r="C30" s="504"/>
      <c r="D30" s="504"/>
      <c r="E30" s="504"/>
      <c r="F30" s="504"/>
      <c r="G30" s="504"/>
      <c r="H30" s="504"/>
      <c r="I30" s="504"/>
      <c r="J30" s="504"/>
      <c r="K30" s="437"/>
      <c r="L30" s="505"/>
      <c r="M30" s="505"/>
      <c r="N30" s="505"/>
      <c r="O30" s="505"/>
      <c r="P30" s="505"/>
      <c r="Q30" s="505"/>
      <c r="R30" s="505"/>
      <c r="S30" s="505"/>
      <c r="T30" s="505"/>
      <c r="U30" s="506"/>
      <c r="V30" s="407"/>
    </row>
    <row r="31" spans="1:22" ht="22" customHeight="1">
      <c r="A31" s="406"/>
      <c r="B31" s="497" t="s">
        <v>43</v>
      </c>
      <c r="C31" s="498"/>
      <c r="D31" s="498"/>
      <c r="E31" s="497" t="s">
        <v>18</v>
      </c>
      <c r="F31" s="498"/>
      <c r="G31" s="498"/>
      <c r="H31" s="498"/>
      <c r="I31" s="498"/>
      <c r="J31" s="498"/>
      <c r="K31" s="437"/>
      <c r="L31" s="499" t="s">
        <v>43</v>
      </c>
      <c r="M31" s="456"/>
      <c r="N31" s="456"/>
      <c r="O31" s="499" t="s">
        <v>18</v>
      </c>
      <c r="P31" s="456"/>
      <c r="Q31" s="456"/>
      <c r="R31" s="456"/>
      <c r="S31" s="456"/>
      <c r="T31" s="456"/>
      <c r="U31" s="407"/>
      <c r="V31" s="407"/>
    </row>
    <row r="32" spans="1:22" ht="32" customHeight="1">
      <c r="A32" s="406"/>
      <c r="B32" s="507">
        <f>'Payment Register'!H6</f>
        <v>3.0560582876205444E-2</v>
      </c>
      <c r="C32" s="498"/>
      <c r="D32" s="498"/>
      <c r="E32" s="508">
        <f>1-'Payment Register'!I5</f>
        <v>4.6835801903455376E-10</v>
      </c>
      <c r="F32" s="498"/>
      <c r="G32" s="498"/>
      <c r="H32" s="498"/>
      <c r="I32" s="498"/>
      <c r="J32" s="498"/>
      <c r="K32" s="437"/>
      <c r="L32" s="509">
        <f>'Payment Register'!H11</f>
        <v>540692.39879960008</v>
      </c>
      <c r="M32" s="456"/>
      <c r="N32" s="456"/>
      <c r="O32" s="510">
        <f>'Payment Register'!I11</f>
        <v>4.6439087842288583E-2</v>
      </c>
      <c r="P32" s="456"/>
      <c r="Q32" s="456"/>
      <c r="R32" s="456"/>
      <c r="S32" s="456"/>
      <c r="T32" s="456"/>
      <c r="U32" s="407"/>
      <c r="V32" s="407"/>
    </row>
    <row r="33" spans="1:22" ht="20" customHeight="1">
      <c r="A33" s="406"/>
      <c r="B33" s="511"/>
      <c r="C33" s="511"/>
      <c r="D33" s="511"/>
      <c r="E33" s="511"/>
      <c r="F33" s="511"/>
      <c r="G33" s="511"/>
      <c r="H33" s="511"/>
      <c r="I33" s="511"/>
      <c r="J33" s="511"/>
      <c r="K33" s="511"/>
      <c r="L33" s="511"/>
      <c r="M33" s="511"/>
      <c r="N33" s="511"/>
      <c r="O33" s="511"/>
      <c r="P33" s="511"/>
      <c r="Q33" s="511"/>
      <c r="R33" s="511"/>
      <c r="S33" s="511"/>
      <c r="T33" s="511"/>
      <c r="U33" s="407"/>
      <c r="V33" s="407"/>
    </row>
    <row r="34" spans="1:22" ht="24" customHeight="1">
      <c r="A34" s="406"/>
      <c r="B34" s="512"/>
      <c r="C34" s="413"/>
      <c r="D34" s="513" t="s">
        <v>44</v>
      </c>
      <c r="E34" s="413"/>
      <c r="F34" s="413"/>
      <c r="G34" s="413"/>
      <c r="H34" s="413"/>
      <c r="I34" s="413"/>
      <c r="J34" s="413"/>
      <c r="K34" s="413"/>
      <c r="L34" s="413"/>
      <c r="M34" s="413"/>
      <c r="N34" s="413"/>
      <c r="O34" s="413"/>
      <c r="P34" s="413"/>
      <c r="Q34" s="413"/>
      <c r="R34" s="513" t="str">
        <f>"REF: "&amp;'Payment Register'!A46&amp;"  ·  COMMERCIAL TEAM FFC  ·  ALL VALUES IN SAR"</f>
        <v>REF: IPA 28  ·  COMMERCIAL TEAM FFC  ·  ALL VALUES IN SAR</v>
      </c>
      <c r="S34" s="413"/>
      <c r="T34" s="413"/>
      <c r="U34" s="459"/>
      <c r="V34" s="407"/>
    </row>
    <row r="35" spans="1:22" ht="28" customHeight="1">
      <c r="A35" s="407"/>
      <c r="B35" s="407"/>
      <c r="C35" s="407"/>
      <c r="D35" s="407"/>
      <c r="E35" s="407"/>
      <c r="F35" s="407"/>
      <c r="G35" s="407"/>
      <c r="H35" s="407"/>
      <c r="I35" s="407"/>
      <c r="J35" s="407"/>
      <c r="K35" s="407"/>
      <c r="L35" s="407"/>
      <c r="M35" s="407"/>
      <c r="N35" s="407"/>
      <c r="O35" s="407"/>
      <c r="P35" s="407"/>
      <c r="Q35" s="407"/>
      <c r="R35" s="407"/>
      <c r="S35" s="407"/>
      <c r="T35" s="407"/>
      <c r="U35" s="407"/>
      <c r="V35" s="407"/>
    </row>
    <row r="36" spans="1:22" ht="22" customHeight="1">
      <c r="A36" s="407"/>
      <c r="B36" s="407"/>
      <c r="C36" s="407"/>
      <c r="D36" s="407"/>
      <c r="E36" s="407"/>
      <c r="F36" s="407"/>
      <c r="G36" s="407"/>
      <c r="H36" s="407"/>
      <c r="I36" s="407"/>
      <c r="J36" s="407"/>
      <c r="K36" s="407"/>
      <c r="L36" s="407"/>
      <c r="M36" s="407"/>
      <c r="N36" s="407"/>
      <c r="O36" s="407"/>
      <c r="P36" s="407"/>
      <c r="Q36" s="407"/>
      <c r="R36" s="407"/>
      <c r="S36" s="407"/>
      <c r="T36" s="407"/>
      <c r="U36" s="407"/>
      <c r="V36" s="407"/>
    </row>
    <row r="37" spans="1:22" ht="50" customHeight="1">
      <c r="A37" s="407"/>
      <c r="B37" s="407"/>
      <c r="C37" s="407"/>
      <c r="D37" s="407"/>
      <c r="E37" s="407"/>
      <c r="F37" s="407"/>
      <c r="G37" s="407"/>
      <c r="H37" s="407"/>
      <c r="I37" s="407"/>
      <c r="J37" s="407"/>
      <c r="K37" s="407"/>
      <c r="L37" s="407"/>
      <c r="M37" s="407"/>
      <c r="N37" s="407"/>
      <c r="O37" s="407"/>
      <c r="P37" s="407"/>
      <c r="Q37" s="407"/>
      <c r="R37" s="407"/>
      <c r="S37" s="407"/>
      <c r="T37" s="407"/>
      <c r="U37" s="407"/>
      <c r="V37" s="407"/>
    </row>
    <row r="38" spans="1:22" ht="22" customHeight="1">
      <c r="A38" s="407"/>
      <c r="B38" s="407"/>
      <c r="C38" s="407"/>
      <c r="D38" s="407"/>
      <c r="E38" s="407"/>
      <c r="F38" s="407"/>
      <c r="G38" s="407"/>
      <c r="H38" s="407"/>
      <c r="I38" s="407"/>
      <c r="J38" s="407"/>
      <c r="K38" s="407"/>
      <c r="L38" s="407"/>
      <c r="M38" s="407"/>
      <c r="N38" s="407"/>
      <c r="O38" s="407"/>
      <c r="P38" s="407"/>
      <c r="Q38" s="407"/>
      <c r="R38" s="407"/>
      <c r="S38" s="407"/>
      <c r="T38" s="407"/>
      <c r="U38" s="407"/>
      <c r="V38" s="407"/>
    </row>
    <row r="39" spans="1:22" ht="18" customHeight="1">
      <c r="A39" s="407"/>
      <c r="B39" s="407"/>
      <c r="C39" s="407"/>
      <c r="D39" s="407"/>
      <c r="E39" s="407"/>
      <c r="F39" s="407"/>
      <c r="G39" s="407"/>
      <c r="H39" s="407"/>
      <c r="I39" s="407"/>
      <c r="J39" s="407"/>
      <c r="K39" s="407"/>
      <c r="L39" s="407"/>
      <c r="M39" s="407"/>
      <c r="N39" s="407"/>
      <c r="O39" s="407"/>
      <c r="P39" s="407"/>
      <c r="Q39" s="407"/>
      <c r="R39" s="407"/>
      <c r="S39" s="407"/>
      <c r="T39" s="407"/>
      <c r="U39" s="407"/>
      <c r="V39" s="407"/>
    </row>
    <row r="40" spans="1:22" ht="14" customHeight="1">
      <c r="A40" s="407"/>
      <c r="B40" s="407"/>
      <c r="C40" s="407"/>
      <c r="D40" s="407"/>
      <c r="E40" s="407"/>
      <c r="F40" s="407"/>
      <c r="G40" s="407"/>
      <c r="H40" s="407"/>
      <c r="I40" s="407"/>
      <c r="J40" s="407"/>
      <c r="K40" s="407"/>
      <c r="L40" s="407"/>
      <c r="M40" s="407"/>
      <c r="N40" s="407"/>
      <c r="O40" s="407"/>
      <c r="P40" s="407"/>
      <c r="Q40" s="407"/>
      <c r="R40" s="407"/>
      <c r="S40" s="407"/>
      <c r="T40" s="407"/>
      <c r="U40" s="407"/>
      <c r="V40" s="407"/>
    </row>
    <row r="41" spans="1:22" ht="22" customHeight="1">
      <c r="A41" s="407"/>
      <c r="B41" s="407"/>
      <c r="C41" s="407"/>
      <c r="D41" s="407"/>
      <c r="E41" s="407"/>
      <c r="F41" s="407"/>
      <c r="G41" s="407"/>
      <c r="H41" s="407"/>
      <c r="I41" s="407"/>
      <c r="J41" s="407"/>
      <c r="K41" s="407"/>
      <c r="L41" s="407"/>
      <c r="M41" s="407"/>
      <c r="N41" s="407"/>
      <c r="O41" s="407"/>
      <c r="P41" s="407"/>
      <c r="Q41" s="407"/>
      <c r="R41" s="407"/>
      <c r="S41" s="407"/>
      <c r="T41" s="407"/>
      <c r="U41" s="407"/>
      <c r="V41" s="407"/>
    </row>
    <row r="42" spans="1:22" ht="36" customHeight="1">
      <c r="A42" s="407"/>
      <c r="B42" s="407"/>
      <c r="C42" s="407"/>
      <c r="D42" s="407"/>
      <c r="E42" s="407"/>
      <c r="F42" s="407"/>
      <c r="G42" s="407"/>
      <c r="H42" s="407"/>
      <c r="I42" s="407"/>
      <c r="J42" s="407"/>
      <c r="K42" s="407"/>
      <c r="L42" s="407"/>
      <c r="M42" s="407"/>
      <c r="N42" s="407"/>
      <c r="O42" s="407"/>
      <c r="P42" s="407"/>
      <c r="Q42" s="407"/>
      <c r="R42" s="407"/>
      <c r="S42" s="407"/>
      <c r="T42" s="407"/>
      <c r="U42" s="407"/>
      <c r="V42" s="407"/>
    </row>
    <row r="43" spans="1:22" ht="14" customHeight="1">
      <c r="A43" s="407"/>
      <c r="B43" s="407"/>
      <c r="C43" s="407"/>
      <c r="D43" s="407"/>
      <c r="E43" s="407"/>
      <c r="F43" s="407"/>
      <c r="G43" s="407"/>
      <c r="H43" s="407"/>
      <c r="I43" s="407"/>
      <c r="J43" s="407"/>
      <c r="K43" s="407"/>
      <c r="L43" s="407"/>
      <c r="M43" s="407"/>
      <c r="N43" s="407"/>
      <c r="O43" s="407"/>
      <c r="P43" s="407"/>
      <c r="Q43" s="407"/>
      <c r="R43" s="407"/>
      <c r="S43" s="407"/>
      <c r="T43" s="407"/>
      <c r="U43" s="407"/>
      <c r="V43" s="407"/>
    </row>
    <row r="44" spans="1:22" ht="24" customHeight="1">
      <c r="A44" s="407"/>
      <c r="B44" s="407"/>
      <c r="C44" s="407"/>
      <c r="D44" s="407"/>
      <c r="E44" s="407"/>
      <c r="F44" s="407"/>
      <c r="G44" s="407"/>
      <c r="H44" s="407"/>
      <c r="I44" s="407"/>
      <c r="J44" s="407"/>
      <c r="K44" s="407"/>
      <c r="L44" s="407"/>
      <c r="M44" s="407"/>
      <c r="N44" s="407"/>
      <c r="O44" s="407"/>
      <c r="P44" s="407"/>
      <c r="Q44" s="407"/>
      <c r="R44" s="407"/>
      <c r="S44" s="407"/>
      <c r="T44" s="407"/>
      <c r="U44" s="407"/>
      <c r="V44" s="407"/>
    </row>
    <row r="45" spans="1:22" ht="28" customHeight="1">
      <c r="A45" s="407"/>
      <c r="B45" s="407"/>
      <c r="C45" s="407"/>
      <c r="D45" s="407"/>
      <c r="E45" s="407"/>
      <c r="F45" s="407"/>
      <c r="G45" s="407"/>
      <c r="H45" s="407"/>
      <c r="I45" s="407"/>
      <c r="J45" s="407"/>
      <c r="K45" s="407"/>
      <c r="L45" s="407"/>
      <c r="M45" s="407"/>
      <c r="N45" s="407"/>
      <c r="O45" s="407"/>
      <c r="P45" s="407"/>
      <c r="Q45" s="407"/>
      <c r="R45" s="407"/>
      <c r="S45" s="407"/>
      <c r="T45" s="407"/>
      <c r="U45" s="407"/>
      <c r="V45" s="407"/>
    </row>
    <row r="46" spans="1:22" ht="18" customHeight="1">
      <c r="A46" s="407"/>
      <c r="B46" s="407"/>
      <c r="C46" s="407"/>
      <c r="D46" s="407"/>
      <c r="E46" s="407"/>
      <c r="F46" s="407"/>
      <c r="G46" s="407"/>
      <c r="H46" s="407"/>
      <c r="I46" s="407"/>
      <c r="J46" s="407"/>
      <c r="K46" s="407"/>
      <c r="L46" s="407"/>
      <c r="M46" s="407"/>
      <c r="N46" s="407"/>
      <c r="O46" s="407"/>
      <c r="P46" s="407"/>
      <c r="Q46" s="407"/>
      <c r="R46" s="407"/>
      <c r="S46" s="407"/>
      <c r="T46" s="407"/>
      <c r="U46" s="407"/>
      <c r="V46" s="407"/>
    </row>
    <row r="47" spans="1:22" hidden="1">
      <c r="A47" s="407"/>
      <c r="B47" s="407"/>
      <c r="C47" s="407"/>
      <c r="D47" s="407"/>
      <c r="E47" s="407"/>
      <c r="F47" s="407"/>
      <c r="G47" s="407"/>
      <c r="H47" s="407"/>
      <c r="I47" s="407"/>
      <c r="J47" s="407"/>
      <c r="K47" s="407"/>
      <c r="L47" s="407"/>
      <c r="M47" s="407"/>
      <c r="N47" s="407"/>
      <c r="O47" s="407"/>
      <c r="P47" s="407"/>
      <c r="Q47" s="407"/>
      <c r="R47" s="407"/>
      <c r="S47" s="407"/>
      <c r="T47" s="407"/>
      <c r="U47" s="407"/>
      <c r="V47" s="407"/>
    </row>
    <row r="48" spans="1:22" hidden="1">
      <c r="A48" s="407"/>
      <c r="B48" s="407"/>
      <c r="C48" s="407"/>
      <c r="D48" s="407"/>
      <c r="E48" s="407"/>
      <c r="F48" s="407"/>
      <c r="G48" s="407"/>
      <c r="H48" s="407"/>
      <c r="I48" s="407"/>
      <c r="J48" s="407"/>
      <c r="K48" s="407"/>
      <c r="L48" s="407"/>
      <c r="M48" s="407"/>
      <c r="N48" s="407"/>
      <c r="O48" s="407"/>
      <c r="P48" s="407"/>
      <c r="Q48" s="407"/>
      <c r="R48" s="407"/>
      <c r="S48" s="407"/>
      <c r="T48" s="407"/>
      <c r="U48" s="407"/>
      <c r="V48" s="407"/>
    </row>
    <row r="49" spans="1:22" hidden="1">
      <c r="A49" s="407"/>
      <c r="B49" s="407"/>
      <c r="C49" s="407"/>
      <c r="D49" s="407"/>
      <c r="E49" s="407"/>
      <c r="F49" s="407"/>
      <c r="G49" s="407"/>
      <c r="H49" s="407"/>
      <c r="I49" s="407"/>
      <c r="J49" s="407"/>
      <c r="K49" s="407"/>
      <c r="L49" s="407"/>
      <c r="M49" s="407"/>
      <c r="N49" s="407"/>
      <c r="O49" s="407"/>
      <c r="P49" s="407"/>
      <c r="Q49" s="407"/>
      <c r="R49" s="407"/>
      <c r="S49" s="407"/>
      <c r="T49" s="407"/>
      <c r="U49" s="407"/>
      <c r="V49" s="407"/>
    </row>
    <row r="50" spans="1:22" hidden="1">
      <c r="A50" s="407"/>
      <c r="B50" s="407"/>
      <c r="C50" s="407"/>
      <c r="D50" s="407"/>
      <c r="E50" s="407"/>
      <c r="F50" s="407"/>
      <c r="G50" s="407"/>
      <c r="H50" s="407"/>
      <c r="I50" s="407"/>
      <c r="J50" s="407"/>
      <c r="K50" s="407"/>
      <c r="L50" s="407"/>
      <c r="M50" s="407"/>
      <c r="N50" s="407"/>
      <c r="O50" s="407"/>
      <c r="P50" s="407"/>
      <c r="Q50" s="407"/>
      <c r="R50" s="407"/>
      <c r="S50" s="407"/>
      <c r="T50" s="407"/>
      <c r="U50" s="407"/>
      <c r="V50" s="407"/>
    </row>
    <row r="51" spans="1:22">
      <c r="A51" s="407"/>
      <c r="B51" s="407"/>
      <c r="C51" s="407"/>
      <c r="D51" s="407"/>
      <c r="E51" s="407"/>
      <c r="F51" s="407"/>
      <c r="G51" s="407"/>
      <c r="H51" s="407"/>
      <c r="I51" s="407"/>
      <c r="J51" s="407"/>
      <c r="K51" s="407"/>
      <c r="L51" s="407"/>
      <c r="M51" s="407"/>
      <c r="N51" s="407"/>
      <c r="O51" s="407"/>
      <c r="P51" s="407"/>
      <c r="Q51" s="407"/>
      <c r="R51" s="407"/>
      <c r="S51" s="407"/>
      <c r="T51" s="407"/>
      <c r="U51" s="407"/>
      <c r="V51" s="407"/>
    </row>
    <row r="52" spans="1:22">
      <c r="A52" s="407"/>
      <c r="B52" s="407"/>
      <c r="C52" s="407"/>
      <c r="D52" s="407"/>
      <c r="E52" s="407"/>
      <c r="F52" s="407"/>
      <c r="G52" s="407"/>
      <c r="H52" s="407"/>
      <c r="I52" s="407"/>
      <c r="J52" s="407"/>
      <c r="K52" s="407"/>
      <c r="L52" s="407"/>
      <c r="M52" s="407"/>
      <c r="N52" s="407"/>
      <c r="O52" s="407"/>
      <c r="P52" s="407"/>
      <c r="Q52" s="407"/>
      <c r="R52" s="407"/>
      <c r="S52" s="407"/>
      <c r="T52" s="407"/>
      <c r="U52" s="407"/>
      <c r="V52" s="407"/>
    </row>
    <row r="53" spans="1:22">
      <c r="A53" s="407"/>
      <c r="B53" s="407"/>
      <c r="C53" s="407"/>
      <c r="D53" s="407"/>
      <c r="E53" s="407"/>
      <c r="F53" s="407"/>
      <c r="G53" s="407"/>
      <c r="H53" s="407"/>
      <c r="I53" s="407"/>
      <c r="J53" s="407"/>
      <c r="K53" s="407"/>
      <c r="L53" s="407"/>
      <c r="M53" s="407"/>
      <c r="N53" s="407"/>
      <c r="O53" s="407"/>
      <c r="P53" s="407"/>
      <c r="Q53" s="407"/>
      <c r="R53" s="407"/>
      <c r="S53" s="407"/>
      <c r="T53" s="407"/>
      <c r="U53" s="407"/>
      <c r="V53" s="407"/>
    </row>
    <row r="54" spans="1:22">
      <c r="A54" s="407"/>
      <c r="B54" s="407"/>
      <c r="C54" s="407"/>
      <c r="D54" s="407"/>
      <c r="E54" s="407"/>
      <c r="F54" s="407"/>
      <c r="G54" s="407"/>
      <c r="H54" s="407"/>
      <c r="I54" s="407"/>
      <c r="J54" s="407"/>
      <c r="K54" s="407"/>
      <c r="L54" s="407"/>
      <c r="M54" s="407"/>
      <c r="N54" s="407"/>
      <c r="O54" s="407"/>
      <c r="P54" s="407"/>
      <c r="Q54" s="407"/>
      <c r="R54" s="407"/>
      <c r="S54" s="407"/>
      <c r="T54" s="407"/>
      <c r="U54" s="407"/>
      <c r="V54" s="407"/>
    </row>
    <row r="55" spans="1:22">
      <c r="A55" s="407"/>
      <c r="B55" s="407"/>
      <c r="C55" s="407"/>
      <c r="D55" s="407"/>
      <c r="E55" s="407"/>
      <c r="F55" s="407"/>
      <c r="G55" s="407"/>
      <c r="H55" s="407"/>
      <c r="I55" s="407"/>
      <c r="J55" s="407"/>
      <c r="K55" s="407"/>
      <c r="L55" s="407"/>
      <c r="M55" s="407"/>
      <c r="N55" s="407"/>
      <c r="O55" s="407"/>
      <c r="P55" s="407"/>
      <c r="Q55" s="407"/>
      <c r="R55" s="407"/>
      <c r="S55" s="407"/>
      <c r="T55" s="407"/>
      <c r="U55" s="407"/>
      <c r="V55" s="407"/>
    </row>
    <row r="56" spans="1:22">
      <c r="A56" s="407"/>
      <c r="B56" s="407"/>
      <c r="C56" s="407"/>
      <c r="D56" s="407"/>
      <c r="E56" s="407"/>
      <c r="F56" s="407"/>
      <c r="G56" s="407"/>
      <c r="H56" s="407"/>
      <c r="I56" s="407"/>
      <c r="J56" s="407"/>
      <c r="K56" s="407"/>
      <c r="L56" s="407"/>
      <c r="M56" s="407"/>
      <c r="N56" s="407"/>
      <c r="O56" s="407"/>
      <c r="P56" s="407"/>
      <c r="Q56" s="407"/>
      <c r="R56" s="407"/>
      <c r="S56" s="407"/>
      <c r="T56" s="407"/>
      <c r="U56" s="407"/>
      <c r="V56" s="407"/>
    </row>
    <row r="57" spans="1:22">
      <c r="A57" s="407"/>
      <c r="B57" s="407"/>
      <c r="C57" s="407"/>
      <c r="D57" s="407"/>
      <c r="E57" s="407"/>
      <c r="F57" s="407"/>
      <c r="G57" s="407"/>
      <c r="H57" s="407"/>
      <c r="I57" s="407"/>
      <c r="J57" s="407"/>
      <c r="K57" s="407"/>
      <c r="L57" s="407"/>
      <c r="M57" s="407"/>
      <c r="N57" s="407"/>
      <c r="O57" s="407"/>
      <c r="P57" s="407"/>
      <c r="Q57" s="407"/>
      <c r="R57" s="407"/>
      <c r="S57" s="407"/>
      <c r="T57" s="407"/>
      <c r="U57" s="407"/>
      <c r="V57" s="407"/>
    </row>
    <row r="58" spans="1:22">
      <c r="A58" s="407"/>
      <c r="B58" s="407"/>
      <c r="C58" s="407"/>
      <c r="D58" s="407"/>
      <c r="E58" s="407"/>
      <c r="F58" s="407"/>
      <c r="G58" s="407"/>
      <c r="H58" s="407"/>
      <c r="I58" s="407"/>
      <c r="J58" s="407"/>
      <c r="K58" s="407"/>
      <c r="L58" s="407"/>
      <c r="M58" s="407"/>
      <c r="N58" s="407"/>
      <c r="O58" s="407"/>
      <c r="P58" s="407"/>
      <c r="Q58" s="407"/>
      <c r="R58" s="407"/>
      <c r="S58" s="407"/>
      <c r="T58" s="407"/>
      <c r="U58" s="407"/>
      <c r="V58" s="407"/>
    </row>
    <row r="59" spans="1:22">
      <c r="A59" s="407"/>
      <c r="B59" s="407"/>
      <c r="C59" s="407"/>
      <c r="D59" s="407"/>
      <c r="E59" s="407"/>
      <c r="F59" s="407"/>
      <c r="G59" s="407"/>
      <c r="H59" s="407"/>
      <c r="I59" s="407"/>
      <c r="J59" s="407"/>
      <c r="K59" s="407"/>
      <c r="L59" s="407"/>
      <c r="M59" s="407"/>
      <c r="N59" s="407"/>
      <c r="O59" s="407"/>
      <c r="P59" s="407"/>
      <c r="Q59" s="407"/>
      <c r="R59" s="407"/>
      <c r="S59" s="407"/>
      <c r="T59" s="407"/>
      <c r="U59" s="407"/>
      <c r="V59" s="407"/>
    </row>
    <row r="60" spans="1:22">
      <c r="A60" s="407"/>
      <c r="B60" s="407"/>
      <c r="C60" s="407"/>
      <c r="D60" s="407"/>
      <c r="E60" s="407"/>
      <c r="F60" s="407"/>
      <c r="G60" s="407"/>
      <c r="H60" s="407"/>
      <c r="I60" s="407"/>
      <c r="J60" s="407"/>
      <c r="K60" s="407"/>
      <c r="L60" s="407"/>
      <c r="M60" s="407"/>
      <c r="N60" s="407"/>
      <c r="O60" s="407"/>
      <c r="P60" s="407"/>
      <c r="Q60" s="407"/>
      <c r="R60" s="407"/>
      <c r="S60" s="407"/>
      <c r="T60" s="407"/>
      <c r="U60" s="407"/>
      <c r="V60" s="407"/>
    </row>
  </sheetData>
  <mergeCells count="1">
    <mergeCell ref="G20:I20"/>
  </mergeCells>
  <printOptions horizontalCentered="1"/>
  <pageMargins left="0.194444444444444" right="0.194444444444444" top="0.194444444444444" bottom="0.194444444444444" header="9.7222222222222196E-2" footer="9.7222222222222196E-2"/>
  <pageSetup paperSize="8" scale="9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105"/>
  <sheetViews>
    <sheetView view="pageBreakPreview" topLeftCell="A7" zoomScaleNormal="87" workbookViewId="0">
      <selection activeCell="I16" sqref="I16"/>
    </sheetView>
  </sheetViews>
  <sheetFormatPr baseColWidth="10" defaultColWidth="8.5" defaultRowHeight="15"/>
  <cols>
    <col min="1" max="1" width="1.5" style="2" customWidth="1"/>
    <col min="2" max="2" width="3.5" style="2" customWidth="1"/>
    <col min="3" max="3" width="26.5" style="2" customWidth="1"/>
    <col min="4" max="4" width="3.5" style="2" customWidth="1"/>
    <col min="5" max="5" width="18.5" style="2" customWidth="1"/>
    <col min="6" max="6" width="20.83203125" style="2" customWidth="1"/>
    <col min="7" max="7" width="17.5" style="2" customWidth="1"/>
    <col min="8" max="8" width="15" style="2" customWidth="1"/>
    <col min="9" max="9" width="3" style="2" customWidth="1"/>
    <col min="10" max="10" width="23.5" style="2" customWidth="1"/>
    <col min="11" max="11" width="30.5" style="2" customWidth="1"/>
    <col min="12" max="12" width="1.5" style="2" customWidth="1"/>
    <col min="13" max="15" width="3" style="2" customWidth="1"/>
    <col min="16" max="17" width="8.5" style="2" customWidth="1"/>
    <col min="18" max="19" width="10.5" style="2" customWidth="1"/>
    <col min="20" max="23" width="8.5" style="2" customWidth="1"/>
    <col min="24" max="16384" width="8.5" style="2"/>
  </cols>
  <sheetData>
    <row r="1" spans="1:19">
      <c r="A1" s="309"/>
      <c r="B1" s="309"/>
      <c r="C1" s="309"/>
      <c r="D1" s="309"/>
      <c r="E1" s="309"/>
      <c r="F1" s="309"/>
      <c r="G1" s="309"/>
      <c r="H1" s="309"/>
      <c r="I1" s="309"/>
      <c r="J1" s="309"/>
      <c r="K1" s="309"/>
      <c r="L1" s="309"/>
      <c r="M1" s="310"/>
      <c r="N1" s="310" t="s">
        <v>45</v>
      </c>
      <c r="O1" s="310"/>
    </row>
    <row r="2" spans="1:19" ht="39" customHeight="1">
      <c r="A2" s="309"/>
      <c r="B2" s="924" t="s">
        <v>46</v>
      </c>
      <c r="C2" s="924"/>
      <c r="D2" s="924"/>
      <c r="E2" s="924"/>
      <c r="F2" s="924"/>
      <c r="G2" s="924"/>
      <c r="H2" s="309"/>
      <c r="I2" s="309"/>
      <c r="J2" s="311">
        <f ca="1">TODAY()</f>
        <v>46232</v>
      </c>
      <c r="K2" s="309"/>
      <c r="L2" s="309"/>
      <c r="M2" s="310"/>
      <c r="N2" s="310" t="s">
        <v>47</v>
      </c>
      <c r="O2" s="310" t="s">
        <v>48</v>
      </c>
      <c r="P2" s="2" t="s">
        <v>49</v>
      </c>
    </row>
    <row r="3" spans="1:19">
      <c r="A3" s="309"/>
      <c r="B3" s="312" t="s">
        <v>50</v>
      </c>
      <c r="C3" s="313" t="s">
        <v>2</v>
      </c>
      <c r="D3" s="309"/>
      <c r="E3" s="309"/>
      <c r="F3" s="309"/>
      <c r="G3" s="309"/>
      <c r="H3" s="309"/>
      <c r="I3" s="309"/>
      <c r="J3" s="314" t="str">
        <f>"REF: "&amp;'Payment Register'!A46&amp;"  ·  COMMERCIAL TEAM FFC"</f>
        <v>REF: IPA 28  ·  COMMERCIAL TEAM FFC</v>
      </c>
      <c r="K3" s="309"/>
      <c r="L3" s="309"/>
      <c r="M3" s="310"/>
      <c r="N3" s="310" t="s">
        <v>51</v>
      </c>
      <c r="O3" s="310" t="s">
        <v>51</v>
      </c>
      <c r="P3" s="2">
        <f>'Payment Register'!E12</f>
        <v>0.95356091385060848</v>
      </c>
    </row>
    <row r="4" spans="1:19">
      <c r="A4" s="315"/>
      <c r="B4" s="315"/>
      <c r="C4" s="315"/>
      <c r="D4" s="315"/>
      <c r="E4" s="315"/>
      <c r="F4" s="315"/>
      <c r="G4" s="315"/>
      <c r="H4" s="315"/>
      <c r="I4" s="315"/>
      <c r="J4" s="315"/>
      <c r="K4" s="315"/>
      <c r="L4" s="315"/>
      <c r="M4" s="310"/>
      <c r="N4" s="310" t="s">
        <v>52</v>
      </c>
      <c r="O4" s="310" t="s">
        <v>52</v>
      </c>
      <c r="P4" s="316">
        <f>1-'Payment Register'!E12</f>
        <v>4.6439086149391517E-2</v>
      </c>
    </row>
    <row r="5" spans="1:19">
      <c r="A5" s="317"/>
      <c r="B5" s="317"/>
      <c r="C5" s="317"/>
      <c r="D5" s="317"/>
      <c r="E5" s="317"/>
      <c r="F5" s="317"/>
      <c r="G5" s="317"/>
      <c r="H5" s="317"/>
      <c r="I5" s="317"/>
      <c r="J5" s="317"/>
      <c r="K5" s="317"/>
      <c r="L5" s="317"/>
      <c r="M5" s="310"/>
      <c r="N5" s="310"/>
      <c r="O5" s="310"/>
    </row>
    <row r="6" spans="1:19" s="307" customFormat="1" ht="24">
      <c r="A6" s="317"/>
      <c r="B6" s="318" t="s">
        <v>3</v>
      </c>
      <c r="C6" s="319" t="s">
        <v>53</v>
      </c>
      <c r="D6" s="320"/>
      <c r="E6" s="320"/>
      <c r="F6" s="320"/>
      <c r="G6" s="321"/>
      <c r="H6" s="321"/>
      <c r="I6" s="317"/>
      <c r="J6" s="318" t="s">
        <v>35</v>
      </c>
      <c r="K6" s="322" t="s">
        <v>36</v>
      </c>
      <c r="L6" s="317"/>
      <c r="M6" s="310"/>
      <c r="N6" s="310" t="s">
        <v>54</v>
      </c>
      <c r="O6" s="310" t="s">
        <v>55</v>
      </c>
      <c r="P6" s="2">
        <f>'Payment Register'!I5</f>
        <v>0.99999999953164198</v>
      </c>
      <c r="Q6" s="2"/>
      <c r="R6" s="2"/>
      <c r="S6" s="2"/>
    </row>
    <row r="7" spans="1:19">
      <c r="A7" s="317"/>
      <c r="B7" s="323"/>
      <c r="C7" s="324"/>
      <c r="D7" s="324"/>
      <c r="E7" s="324"/>
      <c r="F7" s="324"/>
      <c r="G7" s="325"/>
      <c r="H7" s="325"/>
      <c r="I7" s="317"/>
      <c r="J7" s="326"/>
      <c r="K7" s="327"/>
      <c r="L7" s="317"/>
      <c r="M7" s="310"/>
      <c r="N7" s="310"/>
      <c r="O7" s="310" t="s">
        <v>56</v>
      </c>
      <c r="P7" s="316">
        <f>1-'Payment Register'!I5</f>
        <v>4.6835801903455376E-10</v>
      </c>
    </row>
    <row r="8" spans="1:19" s="308" customFormat="1">
      <c r="A8" s="317"/>
      <c r="B8" s="323"/>
      <c r="C8" s="328" t="s">
        <v>57</v>
      </c>
      <c r="D8" s="324"/>
      <c r="E8" s="328" t="s">
        <v>58</v>
      </c>
      <c r="F8" s="329" t="s">
        <v>59</v>
      </c>
      <c r="G8" s="325"/>
      <c r="H8" s="325"/>
      <c r="I8" s="317"/>
      <c r="J8" s="330" t="s">
        <v>39</v>
      </c>
      <c r="K8" s="331"/>
      <c r="L8" s="317"/>
      <c r="M8" s="310"/>
      <c r="N8" s="310"/>
      <c r="O8" s="310"/>
      <c r="P8" s="2"/>
      <c r="Q8" s="2"/>
      <c r="R8" s="2"/>
      <c r="S8" s="2"/>
    </row>
    <row r="9" spans="1:19" s="308" customFormat="1" ht="29">
      <c r="A9" s="317"/>
      <c r="B9" s="323"/>
      <c r="C9" s="332">
        <f>'Payment Register'!D4</f>
        <v>217501556.115897</v>
      </c>
      <c r="D9" s="324"/>
      <c r="E9" s="333">
        <f>'Payment Register'!D5</f>
        <v>232860904.00218076</v>
      </c>
      <c r="F9" s="334">
        <f>(E9-C9)/C9</f>
        <v>7.0617186196587189E-2</v>
      </c>
      <c r="G9" s="325"/>
      <c r="H9" s="325"/>
      <c r="I9" s="317"/>
      <c r="J9" s="335">
        <f>'Payment Register'!H4</f>
        <v>65250466.833179399</v>
      </c>
      <c r="K9" s="336">
        <f>'Payment Register'!I4</f>
        <v>0.32090000000000002</v>
      </c>
      <c r="L9" s="317"/>
      <c r="M9" s="310"/>
      <c r="N9" s="310" t="s">
        <v>38</v>
      </c>
      <c r="O9" s="310" t="s">
        <v>55</v>
      </c>
      <c r="P9" s="2">
        <f>'Payment Register'!I10</f>
        <v>0.95356091215771144</v>
      </c>
      <c r="Q9" s="2"/>
      <c r="R9" s="2"/>
      <c r="S9" s="2"/>
    </row>
    <row r="10" spans="1:19" s="308" customFormat="1">
      <c r="A10" s="317"/>
      <c r="B10" s="337"/>
      <c r="C10" s="338" t="s">
        <v>9</v>
      </c>
      <c r="D10" s="339"/>
      <c r="E10" s="338" t="s">
        <v>9</v>
      </c>
      <c r="F10" s="340" t="s">
        <v>60</v>
      </c>
      <c r="G10" s="341"/>
      <c r="H10" s="341"/>
      <c r="I10" s="317"/>
      <c r="J10" s="342" t="s">
        <v>9</v>
      </c>
      <c r="K10" s="343"/>
      <c r="L10" s="317"/>
      <c r="M10" s="310"/>
      <c r="N10" s="310"/>
      <c r="O10" s="310" t="s">
        <v>56</v>
      </c>
      <c r="P10" s="2">
        <f>'Payment Register'!I11</f>
        <v>4.6439087842288583E-2</v>
      </c>
      <c r="Q10" s="2"/>
      <c r="R10" s="2"/>
      <c r="S10" s="2"/>
    </row>
    <row r="11" spans="1:19" s="308" customFormat="1">
      <c r="A11" s="317"/>
      <c r="B11" s="344"/>
      <c r="C11" s="317"/>
      <c r="D11" s="317"/>
      <c r="E11" s="317"/>
      <c r="F11" s="317"/>
      <c r="G11" s="317"/>
      <c r="H11" s="317"/>
      <c r="I11" s="317"/>
      <c r="J11" s="326"/>
      <c r="K11" s="331"/>
      <c r="L11" s="317"/>
      <c r="M11" s="310"/>
      <c r="N11" s="310"/>
      <c r="O11" s="310"/>
      <c r="P11" s="2"/>
      <c r="Q11" s="2"/>
      <c r="R11" s="2"/>
      <c r="S11" s="2"/>
    </row>
    <row r="12" spans="1:19" ht="24">
      <c r="A12" s="317"/>
      <c r="B12" s="318" t="s">
        <v>13</v>
      </c>
      <c r="C12" s="319" t="s">
        <v>14</v>
      </c>
      <c r="D12" s="321"/>
      <c r="E12" s="321"/>
      <c r="F12" s="321"/>
      <c r="G12" s="321"/>
      <c r="H12" s="345"/>
      <c r="I12" s="317"/>
      <c r="J12" s="330" t="s">
        <v>42</v>
      </c>
      <c r="K12" s="346" t="s">
        <v>18</v>
      </c>
      <c r="L12" s="317"/>
      <c r="M12" s="310"/>
      <c r="N12" s="310" t="s">
        <v>61</v>
      </c>
      <c r="O12" s="310"/>
    </row>
    <row r="13" spans="1:19" ht="21">
      <c r="A13" s="317"/>
      <c r="B13" s="323"/>
      <c r="C13" s="325"/>
      <c r="D13" s="325"/>
      <c r="E13" s="325"/>
      <c r="F13" s="325"/>
      <c r="G13" s="325"/>
      <c r="H13" s="327"/>
      <c r="I13" s="317"/>
      <c r="J13" s="347">
        <f>'Payment Register'!H5</f>
        <v>65250466.802618816</v>
      </c>
      <c r="K13" s="348">
        <f>'Payment Register'!I5</f>
        <v>0.99999999953164198</v>
      </c>
      <c r="L13" s="317"/>
      <c r="M13" s="310"/>
      <c r="N13" s="310"/>
      <c r="O13" s="310" t="s">
        <v>62</v>
      </c>
      <c r="P13" s="2" t="e">
        <f>#REF!</f>
        <v>#REF!</v>
      </c>
    </row>
    <row r="14" spans="1:19">
      <c r="A14" s="317"/>
      <c r="B14" s="323"/>
      <c r="C14" s="328" t="s">
        <v>63</v>
      </c>
      <c r="D14" s="325"/>
      <c r="E14" s="325"/>
      <c r="F14" s="349" t="s">
        <v>64</v>
      </c>
      <c r="G14" s="325"/>
      <c r="H14" s="327"/>
      <c r="I14" s="317"/>
      <c r="J14" s="350"/>
      <c r="K14" s="331"/>
      <c r="L14" s="317"/>
      <c r="M14" s="310"/>
      <c r="N14" s="310"/>
      <c r="O14" s="310" t="s">
        <v>65</v>
      </c>
      <c r="P14" s="2" t="e">
        <f>#REF!</f>
        <v>#REF!</v>
      </c>
    </row>
    <row r="15" spans="1:19" ht="34">
      <c r="A15" s="317"/>
      <c r="B15" s="323"/>
      <c r="C15" s="351">
        <f>'Payment Register'!D12</f>
        <v>222047056.42039829</v>
      </c>
      <c r="D15" s="325"/>
      <c r="E15" s="325"/>
      <c r="F15" s="352">
        <f>'Payment Register'!D13</f>
        <v>10813847.58178246</v>
      </c>
      <c r="G15" s="325"/>
      <c r="H15" s="327"/>
      <c r="I15" s="317"/>
      <c r="J15" s="330" t="s">
        <v>43</v>
      </c>
      <c r="K15" s="346" t="s">
        <v>18</v>
      </c>
      <c r="L15" s="317"/>
      <c r="M15" s="310"/>
      <c r="N15" s="310"/>
      <c r="O15" s="310" t="s">
        <v>66</v>
      </c>
      <c r="P15" s="2" t="e">
        <f>#REF!</f>
        <v>#REF!</v>
      </c>
    </row>
    <row r="16" spans="1:19" ht="21">
      <c r="A16" s="317"/>
      <c r="B16" s="323"/>
      <c r="C16" s="353" t="str">
        <f>TEXT('Payment Register'!E12,"0.0%")&amp;" of revised contract complete"</f>
        <v>95.4% of revised contract complete</v>
      </c>
      <c r="D16" s="325"/>
      <c r="E16" s="325"/>
      <c r="F16" s="354" t="str">
        <f>TEXT(1-'Payment Register'!E12,"0.0%")&amp;" remaining"</f>
        <v>4.6% remaining</v>
      </c>
      <c r="G16" s="325"/>
      <c r="H16" s="327"/>
      <c r="I16" s="317"/>
      <c r="J16" s="355">
        <f>'Payment Register'!H6</f>
        <v>3.0560582876205444E-2</v>
      </c>
      <c r="K16" s="356">
        <f>1-'Payment Register'!I5</f>
        <v>4.6835801903455376E-10</v>
      </c>
      <c r="L16" s="317"/>
      <c r="M16" s="310"/>
      <c r="N16" s="310"/>
      <c r="O16" s="310" t="s">
        <v>67</v>
      </c>
      <c r="P16" s="2" t="e">
        <f>#REF!</f>
        <v>#REF!</v>
      </c>
    </row>
    <row r="17" spans="1:19">
      <c r="A17" s="317"/>
      <c r="B17" s="323"/>
      <c r="C17" s="325"/>
      <c r="D17" s="325"/>
      <c r="E17" s="325"/>
      <c r="F17" s="325"/>
      <c r="G17" s="325"/>
      <c r="H17" s="327"/>
      <c r="I17" s="317"/>
      <c r="J17" s="317"/>
      <c r="K17" s="317"/>
      <c r="L17" s="317"/>
      <c r="M17" s="310"/>
      <c r="N17" s="310"/>
      <c r="O17" s="310" t="s">
        <v>68</v>
      </c>
      <c r="P17" s="2" t="e">
        <f>#REF!</f>
        <v>#REF!</v>
      </c>
    </row>
    <row r="18" spans="1:19" s="308" customFormat="1" ht="24">
      <c r="A18" s="317"/>
      <c r="B18" s="323"/>
      <c r="C18" s="325"/>
      <c r="D18" s="325"/>
      <c r="E18" s="325"/>
      <c r="F18" s="325"/>
      <c r="G18" s="325"/>
      <c r="H18" s="327"/>
      <c r="I18" s="317"/>
      <c r="J18" s="318" t="s">
        <v>37</v>
      </c>
      <c r="K18" s="322" t="s">
        <v>38</v>
      </c>
      <c r="L18" s="317"/>
      <c r="M18" s="310"/>
      <c r="N18" s="310"/>
      <c r="O18" s="310"/>
      <c r="P18" s="2"/>
      <c r="Q18" s="2"/>
      <c r="R18" s="2"/>
      <c r="S18" s="2"/>
    </row>
    <row r="19" spans="1:19" s="308" customFormat="1">
      <c r="A19" s="317"/>
      <c r="B19" s="323"/>
      <c r="C19" s="357" t="s">
        <v>17</v>
      </c>
      <c r="D19" s="325"/>
      <c r="E19" s="358" t="s">
        <v>69</v>
      </c>
      <c r="F19" s="358" t="s">
        <v>19</v>
      </c>
      <c r="G19" s="358" t="s">
        <v>20</v>
      </c>
      <c r="H19" s="327"/>
      <c r="I19" s="317"/>
      <c r="J19" s="326"/>
      <c r="K19" s="327"/>
      <c r="L19" s="317"/>
      <c r="M19" s="310"/>
      <c r="N19" s="310"/>
      <c r="O19" s="310"/>
      <c r="P19" s="2"/>
      <c r="Q19" s="2"/>
      <c r="R19" s="2"/>
      <c r="S19" s="2"/>
    </row>
    <row r="20" spans="1:19" s="308" customFormat="1" ht="17">
      <c r="A20" s="317"/>
      <c r="B20" s="359"/>
      <c r="C20" s="360" t="s">
        <v>23</v>
      </c>
      <c r="D20" s="361"/>
      <c r="E20" s="362">
        <f>'Payment Register'!E12</f>
        <v>0.95356091385060848</v>
      </c>
      <c r="F20" s="363">
        <f>'Payment Register'!D12</f>
        <v>222047056.42039829</v>
      </c>
      <c r="G20" s="363">
        <f>SUM('Payment Register'!J19:J46)</f>
        <v>165651426.89739367</v>
      </c>
      <c r="H20" s="327"/>
      <c r="I20" s="317"/>
      <c r="J20" s="330" t="s">
        <v>40</v>
      </c>
      <c r="K20" s="346"/>
      <c r="L20" s="317"/>
      <c r="M20" s="310"/>
      <c r="N20" s="310"/>
      <c r="O20" s="310"/>
      <c r="P20" s="2"/>
      <c r="Q20" s="2"/>
      <c r="R20" s="2"/>
      <c r="S20" s="2"/>
    </row>
    <row r="21" spans="1:19" s="308" customFormat="1" ht="26">
      <c r="A21" s="317"/>
      <c r="B21" s="323"/>
      <c r="C21" s="364" t="s">
        <v>25</v>
      </c>
      <c r="D21" s="325"/>
      <c r="E21" s="365">
        <f>'Payment Register'!E10</f>
        <v>0.93965367137035094</v>
      </c>
      <c r="F21" s="366">
        <f>'Payment Register'!D10</f>
        <v>218808603.364268</v>
      </c>
      <c r="G21" s="366">
        <f>SUMIFS('Payment Register'!J19:J46,'Payment Register'!Q19:Q46,"Received")</f>
        <v>165651426.89739367</v>
      </c>
      <c r="H21" s="327"/>
      <c r="I21" s="317"/>
      <c r="J21" s="367">
        <f>'Payment Register'!H9</f>
        <v>11643045.200109039</v>
      </c>
      <c r="K21" s="368">
        <f>'Payment Register'!I9</f>
        <v>0.05</v>
      </c>
      <c r="L21" s="317"/>
      <c r="M21" s="310"/>
      <c r="N21" s="310"/>
      <c r="O21" s="310"/>
      <c r="P21" s="2"/>
      <c r="Q21" s="2"/>
      <c r="R21" s="2"/>
      <c r="S21" s="2"/>
    </row>
    <row r="22" spans="1:19" s="308" customFormat="1">
      <c r="A22" s="317"/>
      <c r="B22" s="369"/>
      <c r="C22" s="370" t="s">
        <v>27</v>
      </c>
      <c r="D22" s="371"/>
      <c r="E22" s="372">
        <f>'Payment Register'!E9</f>
        <v>1.3907242480257535E-2</v>
      </c>
      <c r="F22" s="373">
        <f>'Payment Register'!D9</f>
        <v>3238453.0561303003</v>
      </c>
      <c r="G22" s="373">
        <f>SUMIFS('Payment Register'!J19:J46,'Payment Register'!Q19:Q46,'Payment Register'!X19)</f>
        <v>0</v>
      </c>
      <c r="H22" s="327"/>
      <c r="I22" s="317"/>
      <c r="J22" s="330" t="s">
        <v>9</v>
      </c>
      <c r="K22" s="346"/>
      <c r="L22" s="317"/>
      <c r="M22" s="310"/>
      <c r="N22" s="310"/>
      <c r="O22" s="310"/>
      <c r="P22" s="2"/>
      <c r="Q22" s="2"/>
      <c r="R22" s="2"/>
      <c r="S22" s="2"/>
    </row>
    <row r="23" spans="1:19" s="308" customFormat="1">
      <c r="A23" s="317"/>
      <c r="B23" s="323"/>
      <c r="C23" s="364" t="s">
        <v>29</v>
      </c>
      <c r="D23" s="325"/>
      <c r="E23" s="365">
        <f>'Payment Register'!E8</f>
        <v>0</v>
      </c>
      <c r="F23" s="366">
        <f>'Payment Register'!D8</f>
        <v>0</v>
      </c>
      <c r="G23" s="366">
        <f>SUMIFS('Payment Register'!J19:J46,'Payment Register'!Q19:Q46,'Payment Register'!X20)</f>
        <v>0</v>
      </c>
      <c r="H23" s="327"/>
      <c r="I23" s="317"/>
      <c r="J23" s="350"/>
      <c r="K23" s="331"/>
      <c r="L23" s="317"/>
      <c r="M23" s="310"/>
      <c r="N23" s="310"/>
      <c r="O23" s="310"/>
      <c r="P23" s="2"/>
      <c r="Q23" s="2"/>
      <c r="R23" s="2"/>
      <c r="S23" s="2"/>
    </row>
    <row r="24" spans="1:19" s="308" customFormat="1">
      <c r="A24" s="317"/>
      <c r="B24" s="369"/>
      <c r="C24" s="370" t="s">
        <v>31</v>
      </c>
      <c r="D24" s="371"/>
      <c r="E24" s="372">
        <f>'Payment Register'!E7</f>
        <v>1.1579357253284983E-2</v>
      </c>
      <c r="F24" s="373">
        <f>'Payment Register'!D7</f>
        <v>2696379.5977641498</v>
      </c>
      <c r="G24" s="373">
        <f>SUMIFS('Payment Register'!J19:J46,'Payment Register'!Q19:Q46,'Payment Register'!X21)</f>
        <v>0</v>
      </c>
      <c r="H24" s="327"/>
      <c r="I24" s="317"/>
      <c r="J24" s="330" t="s">
        <v>42</v>
      </c>
      <c r="K24" s="346" t="s">
        <v>18</v>
      </c>
      <c r="L24" s="317"/>
      <c r="M24" s="310"/>
      <c r="N24" s="310"/>
      <c r="O24" s="310"/>
      <c r="P24" s="2"/>
      <c r="Q24" s="2"/>
      <c r="R24" s="2"/>
      <c r="S24" s="2"/>
    </row>
    <row r="25" spans="1:19" s="308" customFormat="1" ht="21">
      <c r="A25" s="317"/>
      <c r="B25" s="374"/>
      <c r="C25" s="375" t="s">
        <v>33</v>
      </c>
      <c r="D25" s="376"/>
      <c r="E25" s="377">
        <f>1-'Payment Register'!E12</f>
        <v>4.6439086149391517E-2</v>
      </c>
      <c r="F25" s="378">
        <f>'Payment Register'!D13</f>
        <v>10813847.58178246</v>
      </c>
      <c r="G25" s="378">
        <f>(E9-F20)*1.1</f>
        <v>11895232.339960707</v>
      </c>
      <c r="H25" s="379"/>
      <c r="I25" s="317"/>
      <c r="J25" s="347">
        <f>'Payment Register'!H10</f>
        <v>11102352.801309438</v>
      </c>
      <c r="K25" s="380">
        <f>'Payment Register'!I10</f>
        <v>0.95356091215771144</v>
      </c>
      <c r="L25" s="317"/>
      <c r="M25" s="310"/>
      <c r="N25" s="310"/>
      <c r="O25" s="310"/>
      <c r="P25" s="2"/>
      <c r="Q25" s="2"/>
      <c r="R25" s="2"/>
      <c r="S25" s="2"/>
    </row>
    <row r="26" spans="1:19" s="308" customFormat="1">
      <c r="A26" s="317"/>
      <c r="B26" s="344"/>
      <c r="C26" s="317"/>
      <c r="D26" s="317"/>
      <c r="E26" s="317"/>
      <c r="F26" s="317"/>
      <c r="G26" s="317"/>
      <c r="H26" s="317"/>
      <c r="I26" s="317"/>
      <c r="J26" s="350"/>
      <c r="K26" s="331"/>
      <c r="L26" s="317"/>
      <c r="M26" s="310"/>
      <c r="N26" s="310"/>
      <c r="O26" s="310"/>
      <c r="P26" s="2"/>
      <c r="Q26" s="2"/>
      <c r="R26" s="2"/>
      <c r="S26" s="2"/>
    </row>
    <row r="27" spans="1:19" s="307" customFormat="1" ht="24">
      <c r="A27" s="317"/>
      <c r="B27" s="318" t="s">
        <v>15</v>
      </c>
      <c r="C27" s="319" t="s">
        <v>16</v>
      </c>
      <c r="D27" s="321"/>
      <c r="E27" s="321"/>
      <c r="F27" s="321"/>
      <c r="G27" s="321"/>
      <c r="H27" s="345"/>
      <c r="I27" s="317"/>
      <c r="J27" s="330" t="s">
        <v>43</v>
      </c>
      <c r="K27" s="346" t="s">
        <v>18</v>
      </c>
      <c r="L27" s="317"/>
      <c r="M27" s="310"/>
      <c r="N27" s="310"/>
      <c r="O27" s="310"/>
      <c r="P27" s="2"/>
      <c r="Q27" s="2"/>
      <c r="R27" s="2"/>
      <c r="S27" s="2"/>
    </row>
    <row r="28" spans="1:19" ht="21">
      <c r="A28" s="317"/>
      <c r="B28" s="323"/>
      <c r="C28" s="325"/>
      <c r="D28" s="325"/>
      <c r="E28" s="325"/>
      <c r="F28" s="325"/>
      <c r="G28" s="325"/>
      <c r="H28" s="327"/>
      <c r="I28" s="317"/>
      <c r="J28" s="381">
        <f>'Payment Register'!H11</f>
        <v>540692.39879960008</v>
      </c>
      <c r="K28" s="382">
        <f>'Payment Register'!I11</f>
        <v>4.6439087842288583E-2</v>
      </c>
      <c r="L28" s="317"/>
      <c r="M28" s="310"/>
      <c r="N28" s="310"/>
      <c r="O28" s="310"/>
    </row>
    <row r="29" spans="1:19" s="308" customFormat="1">
      <c r="A29" s="317"/>
      <c r="B29" s="323"/>
      <c r="C29" s="328" t="s">
        <v>70</v>
      </c>
      <c r="D29" s="325"/>
      <c r="E29" s="325"/>
      <c r="F29" s="349" t="s">
        <v>71</v>
      </c>
      <c r="G29" s="325"/>
      <c r="H29" s="327"/>
      <c r="I29" s="317"/>
      <c r="J29" s="317"/>
      <c r="K29" s="317"/>
      <c r="L29" s="317"/>
      <c r="M29" s="310"/>
      <c r="N29" s="310"/>
      <c r="O29" s="310"/>
      <c r="P29" s="2"/>
      <c r="Q29" s="2"/>
      <c r="R29" s="2"/>
      <c r="S29" s="2"/>
    </row>
    <row r="30" spans="1:19" s="308" customFormat="1" ht="34">
      <c r="A30" s="317"/>
      <c r="B30" s="323"/>
      <c r="C30" s="351">
        <f>F38+F37</f>
        <v>-385374.72109782294</v>
      </c>
      <c r="D30" s="325"/>
      <c r="E30" s="325"/>
      <c r="F30" s="352">
        <f>F39</f>
        <v>25035631.619394299</v>
      </c>
      <c r="G30" s="325"/>
      <c r="H30" s="327"/>
      <c r="I30" s="317"/>
      <c r="J30" s="317"/>
      <c r="K30" s="317"/>
      <c r="L30" s="317"/>
      <c r="M30" s="310"/>
      <c r="N30" s="310"/>
      <c r="O30" s="310"/>
      <c r="P30" s="2"/>
      <c r="Q30" s="2"/>
      <c r="R30" s="2"/>
      <c r="S30" s="2"/>
    </row>
    <row r="31" spans="1:19" s="308" customFormat="1">
      <c r="A31" s="317"/>
      <c r="B31" s="323"/>
      <c r="C31" s="328" t="s">
        <v>72</v>
      </c>
      <c r="D31" s="325"/>
      <c r="E31" s="325"/>
      <c r="F31" s="349" t="e">
        <f>#REF!&amp;" VOs TRACKED"</f>
        <v>#REF!</v>
      </c>
      <c r="G31" s="325"/>
      <c r="H31" s="327"/>
      <c r="I31" s="317"/>
      <c r="J31" s="317"/>
      <c r="K31" s="317"/>
      <c r="L31" s="317"/>
      <c r="M31" s="310"/>
      <c r="N31" s="310"/>
      <c r="O31" s="310"/>
      <c r="P31" s="2"/>
      <c r="Q31" s="2"/>
      <c r="R31" s="2"/>
      <c r="S31" s="2"/>
    </row>
    <row r="32" spans="1:19" s="308" customFormat="1">
      <c r="A32" s="317"/>
      <c r="B32" s="323"/>
      <c r="C32" s="325"/>
      <c r="D32" s="325"/>
      <c r="E32" s="325"/>
      <c r="F32" s="325"/>
      <c r="G32" s="325"/>
      <c r="H32" s="327"/>
      <c r="I32" s="317"/>
      <c r="J32" s="317"/>
      <c r="K32" s="317"/>
      <c r="L32" s="317"/>
      <c r="M32" s="310"/>
      <c r="N32" s="310"/>
      <c r="O32" s="310"/>
      <c r="P32" s="2"/>
      <c r="Q32" s="2"/>
      <c r="R32" s="2"/>
      <c r="S32" s="2"/>
    </row>
    <row r="33" spans="1:19" s="308" customFormat="1">
      <c r="A33" s="317"/>
      <c r="B33" s="383"/>
      <c r="C33" s="384" t="s">
        <v>17</v>
      </c>
      <c r="D33" s="385"/>
      <c r="E33" s="386" t="s">
        <v>21</v>
      </c>
      <c r="F33" s="386" t="s">
        <v>22</v>
      </c>
      <c r="G33" s="386"/>
      <c r="H33" s="327"/>
      <c r="I33" s="317"/>
      <c r="J33" s="317"/>
      <c r="K33" s="317"/>
      <c r="L33" s="317"/>
      <c r="M33" s="310"/>
      <c r="N33" s="310"/>
      <c r="O33" s="310"/>
      <c r="P33" s="2"/>
      <c r="Q33" s="2"/>
      <c r="R33" s="2"/>
      <c r="S33" s="2"/>
    </row>
    <row r="34" spans="1:19" s="308" customFormat="1" ht="16">
      <c r="A34" s="317"/>
      <c r="B34" s="323"/>
      <c r="C34" s="364" t="s">
        <v>26</v>
      </c>
      <c r="D34" s="325"/>
      <c r="E34" s="387">
        <f>Sheet1!$D$1</f>
        <v>9</v>
      </c>
      <c r="F34" s="388">
        <f>Sheet1!$E$1</f>
        <v>0</v>
      </c>
      <c r="H34" s="327"/>
      <c r="I34" s="317"/>
      <c r="J34" s="317"/>
      <c r="K34" s="317"/>
      <c r="L34" s="317"/>
      <c r="M34" s="310"/>
      <c r="N34" s="310"/>
      <c r="O34" s="310"/>
      <c r="P34" s="2"/>
      <c r="Q34" s="2"/>
      <c r="R34" s="2"/>
      <c r="S34" s="2"/>
    </row>
    <row r="35" spans="1:19" s="308" customFormat="1" ht="16">
      <c r="A35" s="317"/>
      <c r="B35" s="369"/>
      <c r="C35" s="370" t="s">
        <v>28</v>
      </c>
      <c r="D35" s="371"/>
      <c r="E35" s="389">
        <f>Sheet1!$D$2</f>
        <v>22</v>
      </c>
      <c r="F35" s="390">
        <f>Sheet1!$E$2</f>
        <v>2991535.5681105321</v>
      </c>
      <c r="H35" s="327"/>
      <c r="I35" s="317"/>
      <c r="J35" s="317"/>
      <c r="K35" s="317"/>
      <c r="L35" s="317"/>
      <c r="M35" s="310"/>
      <c r="N35" s="310"/>
      <c r="O35" s="310"/>
      <c r="P35" s="2"/>
      <c r="Q35" s="2"/>
      <c r="R35" s="2"/>
      <c r="S35" s="2"/>
    </row>
    <row r="36" spans="1:19" s="308" customFormat="1" ht="16">
      <c r="A36" s="317"/>
      <c r="B36" s="323"/>
      <c r="C36" s="364" t="s">
        <v>30</v>
      </c>
      <c r="D36" s="325"/>
      <c r="E36" s="389">
        <f>Sheet1!$D$3</f>
        <v>4</v>
      </c>
      <c r="F36" s="390">
        <f>Sheet1!$E$3</f>
        <v>6684748.165000001</v>
      </c>
      <c r="H36" s="327"/>
      <c r="I36" s="317"/>
      <c r="J36" s="317"/>
      <c r="K36" s="317"/>
      <c r="L36" s="317"/>
      <c r="M36" s="310"/>
      <c r="N36" s="310"/>
      <c r="O36" s="310"/>
      <c r="P36" s="2"/>
      <c r="Q36" s="2"/>
      <c r="R36" s="2"/>
      <c r="S36" s="2"/>
    </row>
    <row r="37" spans="1:19" s="308" customFormat="1" ht="16">
      <c r="A37" s="317"/>
      <c r="B37" s="369"/>
      <c r="C37" s="391" t="s">
        <v>32</v>
      </c>
      <c r="D37" s="371"/>
      <c r="E37" s="392">
        <f>Sheet1!$D$4</f>
        <v>18</v>
      </c>
      <c r="F37" s="393">
        <f>Sheet1!$E$4</f>
        <v>-23074.748717714716</v>
      </c>
      <c r="H37" s="327"/>
      <c r="I37" s="317"/>
      <c r="J37" s="317"/>
      <c r="K37" s="317"/>
      <c r="L37" s="317"/>
      <c r="M37" s="310"/>
      <c r="N37" s="310"/>
      <c r="O37" s="310"/>
      <c r="P37" s="2"/>
      <c r="Q37" s="2"/>
      <c r="R37" s="2"/>
      <c r="S37" s="2"/>
    </row>
    <row r="38" spans="1:19" s="308" customFormat="1" ht="16">
      <c r="A38" s="317"/>
      <c r="B38" s="323"/>
      <c r="C38" s="394" t="s">
        <v>34</v>
      </c>
      <c r="D38" s="325"/>
      <c r="E38" s="395">
        <f>Sheet1!$D$5</f>
        <v>8</v>
      </c>
      <c r="F38" s="396">
        <f>Sheet1!$E$5</f>
        <v>-362299.9723801082</v>
      </c>
      <c r="H38" s="327"/>
      <c r="I38" s="317"/>
      <c r="J38" s="317"/>
      <c r="K38" s="317"/>
      <c r="L38" s="317"/>
      <c r="M38" s="310"/>
      <c r="N38" s="310"/>
      <c r="O38" s="310"/>
      <c r="P38" s="2"/>
      <c r="Q38" s="2"/>
      <c r="R38" s="2"/>
      <c r="S38" s="2"/>
    </row>
    <row r="39" spans="1:19" s="308" customFormat="1" ht="18">
      <c r="A39" s="317"/>
      <c r="B39" s="374"/>
      <c r="C39" s="375" t="s">
        <v>24</v>
      </c>
      <c r="D39" s="376"/>
      <c r="E39" s="397">
        <f>Sheet1!D7</f>
        <v>74</v>
      </c>
      <c r="F39" s="378">
        <f>Sheet1!E7</f>
        <v>25035631.619394299</v>
      </c>
      <c r="G39" s="398"/>
      <c r="H39" s="379"/>
      <c r="I39" s="317"/>
      <c r="J39" s="317"/>
      <c r="K39" s="317"/>
      <c r="L39" s="317"/>
      <c r="M39" s="310"/>
      <c r="N39" s="310"/>
      <c r="O39" s="310"/>
      <c r="P39" s="2"/>
      <c r="Q39" s="2"/>
      <c r="R39" s="2"/>
      <c r="S39" s="2"/>
    </row>
    <row r="40" spans="1:19" ht="11" customHeight="1">
      <c r="A40" s="317"/>
      <c r="B40" s="317"/>
      <c r="C40" s="317"/>
      <c r="D40" s="317"/>
      <c r="E40" s="317"/>
      <c r="F40" s="317"/>
      <c r="G40" s="317"/>
      <c r="H40" s="317"/>
      <c r="I40" s="317"/>
      <c r="J40" s="317"/>
      <c r="K40" s="317"/>
      <c r="L40" s="317"/>
      <c r="M40" s="310"/>
      <c r="N40" s="310"/>
      <c r="O40" s="310"/>
    </row>
    <row r="41" spans="1:19">
      <c r="A41" s="317"/>
      <c r="B41" s="317"/>
      <c r="C41" s="317"/>
      <c r="D41" s="317"/>
      <c r="E41" s="317"/>
      <c r="F41" s="317"/>
      <c r="G41" s="317"/>
      <c r="H41" s="317"/>
      <c r="I41" s="317"/>
      <c r="J41" s="317"/>
      <c r="K41" s="317"/>
      <c r="L41" s="317"/>
      <c r="M41" s="310"/>
      <c r="N41" s="310"/>
      <c r="O41" s="310"/>
    </row>
    <row r="42" spans="1:19">
      <c r="A42" s="399"/>
      <c r="B42" s="400" t="s">
        <v>73</v>
      </c>
      <c r="C42" s="401" t="s">
        <v>74</v>
      </c>
      <c r="D42" s="399"/>
      <c r="E42" s="399"/>
      <c r="F42" s="399"/>
      <c r="G42" s="399"/>
      <c r="H42" s="399"/>
      <c r="I42" s="399"/>
      <c r="J42" s="402" t="str">
        <f>"REF: "&amp;'Payment Register'!A46&amp;"  ·  COMMERCIAL TEAM FFC  ·  ALL VALUES IN SAR"</f>
        <v>REF: IPA 28  ·  COMMERCIAL TEAM FFC  ·  ALL VALUES IN SAR</v>
      </c>
      <c r="K42" s="399"/>
      <c r="L42" s="399"/>
      <c r="M42" s="310"/>
      <c r="N42" s="310"/>
      <c r="O42" s="310"/>
    </row>
    <row r="43" spans="1:19">
      <c r="A43" s="310"/>
      <c r="B43" s="310"/>
      <c r="C43" s="310"/>
      <c r="D43" s="310"/>
      <c r="E43" s="310"/>
      <c r="F43" s="310"/>
      <c r="G43" s="310"/>
      <c r="H43" s="310"/>
      <c r="I43" s="310"/>
      <c r="J43" s="310"/>
      <c r="K43" s="310"/>
      <c r="L43" s="310"/>
      <c r="M43" s="310"/>
      <c r="N43" s="310"/>
      <c r="O43" s="310"/>
    </row>
    <row r="44" spans="1:19">
      <c r="A44" s="310"/>
      <c r="B44" s="310"/>
      <c r="C44" s="310"/>
      <c r="D44" s="310"/>
      <c r="E44" s="310"/>
      <c r="F44" s="310"/>
      <c r="G44" s="310"/>
      <c r="H44" s="310"/>
      <c r="I44" s="310"/>
      <c r="J44" s="310"/>
      <c r="K44" s="310"/>
      <c r="L44" s="310"/>
      <c r="M44" s="310"/>
      <c r="N44" s="310"/>
      <c r="O44" s="310"/>
    </row>
    <row r="45" spans="1:19">
      <c r="A45" s="310"/>
      <c r="B45" s="310"/>
      <c r="C45" s="310"/>
      <c r="D45" s="310"/>
      <c r="E45" s="310"/>
      <c r="F45" s="310"/>
      <c r="G45" s="310"/>
      <c r="H45" s="310"/>
      <c r="I45" s="310"/>
      <c r="J45" s="310"/>
      <c r="K45" s="310"/>
      <c r="L45" s="310"/>
      <c r="M45" s="310"/>
      <c r="N45" s="310"/>
      <c r="O45" s="310"/>
    </row>
    <row r="46" spans="1:19">
      <c r="A46" s="310"/>
      <c r="B46" s="310"/>
      <c r="C46" s="310"/>
      <c r="D46" s="310"/>
      <c r="E46" s="310"/>
      <c r="F46" s="310"/>
      <c r="G46" s="310"/>
      <c r="H46" s="310"/>
      <c r="I46" s="310"/>
      <c r="J46" s="310"/>
      <c r="K46" s="310"/>
      <c r="L46" s="310"/>
      <c r="M46" s="310"/>
      <c r="N46" s="310"/>
      <c r="O46" s="310"/>
    </row>
    <row r="47" spans="1:19">
      <c r="A47" s="310"/>
      <c r="B47" s="310"/>
      <c r="C47" s="310"/>
      <c r="D47" s="310"/>
      <c r="E47" s="310"/>
      <c r="F47" s="310"/>
      <c r="G47" s="310"/>
      <c r="H47" s="310"/>
      <c r="I47" s="310"/>
      <c r="J47" s="310"/>
      <c r="K47" s="310"/>
      <c r="L47" s="310"/>
      <c r="M47" s="310"/>
      <c r="N47" s="310"/>
      <c r="O47" s="310"/>
    </row>
    <row r="48" spans="1:19">
      <c r="A48" s="310"/>
      <c r="B48" s="310"/>
      <c r="C48" s="310"/>
      <c r="D48" s="310"/>
      <c r="E48" s="310"/>
      <c r="F48" s="310"/>
      <c r="G48" s="310"/>
      <c r="H48" s="310"/>
      <c r="I48" s="310"/>
      <c r="J48" s="310"/>
      <c r="K48" s="310"/>
      <c r="L48" s="310"/>
      <c r="M48" s="310"/>
      <c r="N48" s="310"/>
      <c r="O48" s="310"/>
    </row>
    <row r="49" spans="1:15">
      <c r="A49" s="310"/>
      <c r="B49" s="310"/>
      <c r="C49" s="310"/>
      <c r="D49" s="310"/>
      <c r="E49" s="310"/>
      <c r="F49" s="310"/>
      <c r="G49" s="310"/>
      <c r="H49" s="310"/>
      <c r="I49" s="310"/>
      <c r="J49" s="310"/>
      <c r="K49" s="310"/>
      <c r="L49" s="310"/>
      <c r="M49" s="310"/>
      <c r="N49" s="310"/>
      <c r="O49" s="310"/>
    </row>
    <row r="50" spans="1:15">
      <c r="A50" s="310"/>
      <c r="B50" s="310"/>
      <c r="C50" s="310"/>
      <c r="D50" s="310"/>
      <c r="E50" s="310"/>
      <c r="F50" s="310"/>
      <c r="G50" s="310"/>
      <c r="H50" s="310"/>
      <c r="I50" s="310"/>
      <c r="J50" s="310"/>
      <c r="K50" s="310"/>
      <c r="L50" s="310"/>
      <c r="M50" s="310"/>
      <c r="N50" s="310"/>
      <c r="O50" s="310"/>
    </row>
    <row r="51" spans="1:15">
      <c r="A51" s="310"/>
      <c r="B51" s="310"/>
      <c r="C51" s="310"/>
      <c r="D51" s="310"/>
      <c r="E51" s="310"/>
      <c r="F51" s="310"/>
      <c r="G51" s="310"/>
      <c r="H51" s="310"/>
      <c r="I51" s="310"/>
      <c r="J51" s="310"/>
      <c r="K51" s="310"/>
      <c r="L51" s="310"/>
      <c r="M51" s="310"/>
      <c r="N51" s="310"/>
      <c r="O51" s="310"/>
    </row>
    <row r="52" spans="1:15">
      <c r="A52" s="310"/>
      <c r="B52" s="310"/>
      <c r="C52" s="310"/>
      <c r="D52" s="310"/>
      <c r="E52" s="310"/>
      <c r="F52" s="310"/>
      <c r="G52" s="310"/>
      <c r="H52" s="310"/>
      <c r="I52" s="310"/>
      <c r="J52" s="310"/>
      <c r="K52" s="310"/>
      <c r="L52" s="310"/>
      <c r="M52" s="310"/>
      <c r="N52" s="310"/>
      <c r="O52" s="310"/>
    </row>
    <row r="53" spans="1:15">
      <c r="A53" s="310"/>
      <c r="B53" s="310"/>
      <c r="C53" s="310"/>
      <c r="D53" s="310"/>
      <c r="E53" s="310"/>
      <c r="F53" s="310"/>
      <c r="G53" s="310"/>
      <c r="H53" s="310"/>
      <c r="I53" s="310"/>
      <c r="J53" s="310"/>
      <c r="K53" s="310"/>
      <c r="L53" s="310"/>
      <c r="M53" s="310"/>
      <c r="N53" s="310"/>
      <c r="O53" s="310"/>
    </row>
    <row r="54" spans="1:15">
      <c r="A54" s="310"/>
      <c r="B54" s="310"/>
      <c r="C54" s="310"/>
      <c r="D54" s="310"/>
      <c r="E54" s="310"/>
      <c r="F54" s="310"/>
      <c r="G54" s="310"/>
      <c r="H54" s="310"/>
      <c r="I54" s="310"/>
      <c r="J54" s="310"/>
      <c r="K54" s="310"/>
      <c r="L54" s="310"/>
      <c r="M54" s="310"/>
      <c r="N54" s="310"/>
      <c r="O54" s="310"/>
    </row>
    <row r="55" spans="1:15">
      <c r="A55" s="310"/>
      <c r="B55" s="310"/>
      <c r="C55" s="310"/>
      <c r="D55" s="310"/>
      <c r="E55" s="310"/>
      <c r="F55" s="310"/>
      <c r="G55" s="310"/>
      <c r="H55" s="310"/>
      <c r="I55" s="310"/>
      <c r="J55" s="310"/>
      <c r="K55" s="310"/>
      <c r="L55" s="310"/>
      <c r="M55" s="310"/>
      <c r="N55" s="310"/>
      <c r="O55" s="310"/>
    </row>
    <row r="56" spans="1:15">
      <c r="A56" s="310"/>
      <c r="B56" s="310"/>
      <c r="C56" s="310"/>
      <c r="D56" s="310"/>
      <c r="E56" s="310"/>
      <c r="F56" s="310"/>
      <c r="G56" s="310"/>
      <c r="H56" s="310"/>
      <c r="I56" s="310"/>
      <c r="J56" s="310"/>
      <c r="K56" s="310"/>
      <c r="L56" s="310"/>
      <c r="M56" s="310"/>
      <c r="N56" s="310"/>
      <c r="O56" s="310"/>
    </row>
    <row r="57" spans="1:15">
      <c r="A57" s="310"/>
      <c r="B57" s="310"/>
      <c r="C57" s="310"/>
      <c r="D57" s="310"/>
      <c r="E57" s="310"/>
      <c r="F57" s="310"/>
      <c r="G57" s="310"/>
      <c r="H57" s="310"/>
      <c r="I57" s="310"/>
      <c r="J57" s="310"/>
      <c r="K57" s="310"/>
      <c r="L57" s="310"/>
      <c r="M57" s="310"/>
      <c r="N57" s="310"/>
      <c r="O57" s="310"/>
    </row>
    <row r="58" spans="1:15">
      <c r="A58" s="310"/>
      <c r="B58" s="310"/>
      <c r="C58" s="310"/>
      <c r="D58" s="310"/>
      <c r="E58" s="310"/>
      <c r="F58" s="310"/>
      <c r="G58" s="310"/>
      <c r="H58" s="310"/>
      <c r="I58" s="310"/>
      <c r="J58" s="310"/>
      <c r="K58" s="310"/>
      <c r="L58" s="310"/>
      <c r="M58" s="310"/>
      <c r="N58" s="310"/>
      <c r="O58" s="310"/>
    </row>
    <row r="59" spans="1:15">
      <c r="A59" s="310"/>
      <c r="B59" s="310"/>
      <c r="C59" s="310"/>
      <c r="D59" s="310"/>
      <c r="E59" s="310"/>
      <c r="F59" s="310"/>
      <c r="G59" s="310"/>
      <c r="H59" s="310"/>
      <c r="I59" s="310"/>
      <c r="J59" s="310"/>
      <c r="K59" s="310"/>
      <c r="L59" s="310"/>
      <c r="M59" s="310"/>
      <c r="N59" s="310"/>
      <c r="O59" s="310"/>
    </row>
    <row r="60" spans="1:15">
      <c r="A60" s="310"/>
      <c r="B60" s="310"/>
      <c r="C60" s="310"/>
      <c r="D60" s="310"/>
      <c r="E60" s="310"/>
      <c r="F60" s="310"/>
      <c r="G60" s="310"/>
      <c r="H60" s="310"/>
      <c r="I60" s="310"/>
      <c r="J60" s="310"/>
      <c r="K60" s="310"/>
      <c r="L60" s="310"/>
      <c r="M60" s="310"/>
      <c r="N60" s="310"/>
      <c r="O60" s="310"/>
    </row>
    <row r="61" spans="1:15">
      <c r="A61" s="310"/>
      <c r="B61" s="310"/>
      <c r="C61" s="310"/>
      <c r="D61" s="310"/>
      <c r="E61" s="310"/>
      <c r="F61" s="310"/>
      <c r="G61" s="310"/>
      <c r="H61" s="310"/>
      <c r="I61" s="310"/>
      <c r="J61" s="310"/>
      <c r="K61" s="310"/>
      <c r="L61" s="310"/>
      <c r="M61" s="310"/>
      <c r="N61" s="310"/>
      <c r="O61" s="310"/>
    </row>
    <row r="62" spans="1:15">
      <c r="A62" s="310"/>
      <c r="B62" s="310"/>
      <c r="C62" s="310"/>
      <c r="D62" s="310"/>
      <c r="E62" s="310"/>
      <c r="F62" s="310"/>
      <c r="G62" s="310"/>
      <c r="H62" s="310"/>
      <c r="I62" s="310"/>
      <c r="J62" s="310"/>
      <c r="K62" s="310"/>
      <c r="L62" s="310"/>
      <c r="M62" s="310"/>
      <c r="N62" s="310"/>
      <c r="O62" s="310"/>
    </row>
    <row r="63" spans="1:15">
      <c r="A63" s="310"/>
      <c r="B63" s="310"/>
      <c r="C63" s="310"/>
      <c r="D63" s="310"/>
      <c r="E63" s="310"/>
      <c r="F63" s="310"/>
      <c r="G63" s="310"/>
      <c r="H63" s="310"/>
      <c r="I63" s="310"/>
      <c r="J63" s="310"/>
      <c r="K63" s="310"/>
      <c r="L63" s="310"/>
      <c r="M63" s="310"/>
      <c r="N63" s="310"/>
      <c r="O63" s="310"/>
    </row>
    <row r="64" spans="1:15">
      <c r="A64" s="310"/>
      <c r="B64" s="310"/>
      <c r="C64" s="310"/>
      <c r="D64" s="310"/>
      <c r="E64" s="310"/>
      <c r="F64" s="310"/>
      <c r="G64" s="310"/>
      <c r="H64" s="310"/>
      <c r="I64" s="310"/>
      <c r="J64" s="310"/>
      <c r="K64" s="310"/>
      <c r="L64" s="310"/>
      <c r="M64" s="310"/>
      <c r="N64" s="310"/>
      <c r="O64" s="310"/>
    </row>
    <row r="65" spans="1:15">
      <c r="A65" s="310"/>
      <c r="B65" s="310"/>
      <c r="C65" s="310"/>
      <c r="D65" s="310"/>
      <c r="E65" s="310"/>
      <c r="F65" s="310"/>
      <c r="G65" s="310"/>
      <c r="H65" s="310"/>
      <c r="I65" s="310"/>
      <c r="J65" s="310"/>
      <c r="K65" s="310"/>
      <c r="L65" s="310"/>
      <c r="M65" s="310"/>
      <c r="N65" s="310"/>
      <c r="O65" s="310"/>
    </row>
    <row r="66" spans="1:15">
      <c r="A66" s="310"/>
      <c r="B66" s="310"/>
      <c r="C66" s="310"/>
      <c r="D66" s="310"/>
      <c r="E66" s="310"/>
      <c r="F66" s="310"/>
      <c r="G66" s="310"/>
      <c r="H66" s="310"/>
      <c r="I66" s="310"/>
      <c r="J66" s="310"/>
      <c r="K66" s="310"/>
      <c r="L66" s="310"/>
      <c r="M66" s="310"/>
      <c r="N66" s="310"/>
      <c r="O66" s="310"/>
    </row>
    <row r="67" spans="1:15">
      <c r="A67" s="310"/>
      <c r="B67" s="310"/>
      <c r="C67" s="310"/>
      <c r="D67" s="310"/>
      <c r="E67" s="310"/>
      <c r="F67" s="310"/>
      <c r="G67" s="310"/>
      <c r="H67" s="310"/>
      <c r="I67" s="310"/>
      <c r="J67" s="310"/>
      <c r="K67" s="310"/>
      <c r="L67" s="310"/>
      <c r="M67" s="310"/>
      <c r="N67" s="310"/>
      <c r="O67" s="310"/>
    </row>
    <row r="68" spans="1:15">
      <c r="A68" s="310"/>
      <c r="B68" s="310"/>
      <c r="C68" s="310"/>
      <c r="D68" s="310"/>
      <c r="E68" s="310"/>
      <c r="F68" s="310"/>
      <c r="G68" s="310"/>
      <c r="H68" s="310"/>
      <c r="I68" s="310"/>
      <c r="J68" s="310"/>
      <c r="K68" s="310"/>
      <c r="L68" s="310"/>
      <c r="M68" s="310"/>
      <c r="N68" s="310"/>
      <c r="O68" s="310"/>
    </row>
    <row r="69" spans="1:15">
      <c r="A69" s="310"/>
      <c r="B69" s="310"/>
      <c r="C69" s="310"/>
      <c r="D69" s="310"/>
      <c r="E69" s="310"/>
      <c r="F69" s="310"/>
      <c r="G69" s="310"/>
      <c r="H69" s="310"/>
      <c r="I69" s="310"/>
      <c r="J69" s="310"/>
      <c r="K69" s="310"/>
      <c r="L69" s="310"/>
      <c r="M69" s="310"/>
      <c r="N69" s="310"/>
      <c r="O69" s="310"/>
    </row>
    <row r="70" spans="1:15">
      <c r="A70" s="310"/>
      <c r="B70" s="310"/>
      <c r="C70" s="310"/>
      <c r="D70" s="310"/>
      <c r="E70" s="310"/>
      <c r="F70" s="310"/>
      <c r="G70" s="310"/>
      <c r="H70" s="310"/>
      <c r="I70" s="310"/>
      <c r="J70" s="310"/>
      <c r="K70" s="310"/>
      <c r="L70" s="310"/>
      <c r="M70" s="310"/>
      <c r="N70" s="310"/>
      <c r="O70" s="310"/>
    </row>
    <row r="71" spans="1:15">
      <c r="A71" s="310"/>
      <c r="B71" s="310"/>
      <c r="C71" s="310"/>
      <c r="D71" s="310"/>
      <c r="E71" s="310"/>
      <c r="F71" s="310"/>
      <c r="G71" s="310"/>
      <c r="H71" s="310"/>
      <c r="I71" s="310"/>
      <c r="J71" s="310"/>
      <c r="K71" s="310"/>
      <c r="L71" s="310"/>
      <c r="M71" s="310"/>
      <c r="N71" s="310"/>
      <c r="O71" s="310"/>
    </row>
    <row r="72" spans="1:15">
      <c r="A72" s="310"/>
      <c r="B72" s="310"/>
      <c r="C72" s="310"/>
      <c r="D72" s="310"/>
      <c r="E72" s="310"/>
      <c r="F72" s="310"/>
      <c r="G72" s="310"/>
      <c r="H72" s="310"/>
      <c r="I72" s="310"/>
      <c r="J72" s="310"/>
      <c r="K72" s="310"/>
      <c r="L72" s="310"/>
      <c r="M72" s="310"/>
      <c r="N72" s="310"/>
      <c r="O72" s="310"/>
    </row>
    <row r="73" spans="1:15">
      <c r="A73" s="310"/>
      <c r="B73" s="310"/>
      <c r="C73" s="310"/>
      <c r="D73" s="310"/>
      <c r="E73" s="310"/>
      <c r="F73" s="310"/>
      <c r="G73" s="310"/>
      <c r="H73" s="310"/>
      <c r="I73" s="310"/>
      <c r="J73" s="310"/>
      <c r="K73" s="310"/>
      <c r="L73" s="310"/>
      <c r="M73" s="310"/>
      <c r="N73" s="310"/>
      <c r="O73" s="310"/>
    </row>
    <row r="74" spans="1:15">
      <c r="A74" s="310"/>
      <c r="B74" s="310"/>
      <c r="C74" s="310"/>
      <c r="D74" s="310"/>
      <c r="E74" s="310"/>
      <c r="F74" s="310"/>
      <c r="G74" s="310"/>
      <c r="H74" s="310"/>
      <c r="I74" s="310"/>
      <c r="J74" s="310"/>
      <c r="K74" s="310"/>
      <c r="L74" s="310"/>
      <c r="M74" s="310"/>
      <c r="N74" s="310"/>
      <c r="O74" s="310"/>
    </row>
    <row r="75" spans="1:15">
      <c r="A75" s="310"/>
      <c r="B75" s="310"/>
      <c r="C75" s="310"/>
      <c r="D75" s="310"/>
      <c r="E75" s="310"/>
      <c r="F75" s="310"/>
      <c r="G75" s="310"/>
      <c r="H75" s="310"/>
      <c r="I75" s="310"/>
      <c r="J75" s="310"/>
      <c r="K75" s="310"/>
      <c r="L75" s="310"/>
      <c r="M75" s="310"/>
      <c r="N75" s="310"/>
      <c r="O75" s="310"/>
    </row>
    <row r="76" spans="1:15">
      <c r="A76" s="310"/>
      <c r="B76" s="310"/>
      <c r="C76" s="310"/>
      <c r="D76" s="310"/>
      <c r="E76" s="310"/>
      <c r="F76" s="310"/>
      <c r="G76" s="310"/>
      <c r="H76" s="310"/>
      <c r="I76" s="310"/>
      <c r="J76" s="310"/>
      <c r="K76" s="310"/>
      <c r="L76" s="310"/>
      <c r="M76" s="310"/>
      <c r="N76" s="310"/>
      <c r="O76" s="310"/>
    </row>
    <row r="77" spans="1:15">
      <c r="A77" s="310"/>
      <c r="B77" s="310"/>
      <c r="C77" s="310"/>
      <c r="D77" s="310"/>
      <c r="E77" s="310"/>
      <c r="F77" s="310"/>
      <c r="G77" s="310"/>
      <c r="H77" s="310"/>
      <c r="I77" s="310"/>
      <c r="J77" s="310"/>
      <c r="K77" s="310"/>
      <c r="L77" s="310"/>
      <c r="M77" s="310"/>
      <c r="N77" s="310"/>
      <c r="O77" s="310"/>
    </row>
    <row r="78" spans="1:15">
      <c r="C78" s="403"/>
      <c r="D78" s="403"/>
      <c r="E78" s="403"/>
      <c r="F78" s="403"/>
      <c r="G78" s="403"/>
      <c r="H78" s="403"/>
      <c r="I78" s="403"/>
      <c r="J78" s="403"/>
      <c r="K78" s="403"/>
    </row>
    <row r="79" spans="1:15">
      <c r="C79" s="403"/>
      <c r="D79" s="403"/>
      <c r="E79" s="403"/>
      <c r="F79" s="403"/>
      <c r="G79" s="403"/>
      <c r="H79" s="403"/>
      <c r="I79" s="403"/>
      <c r="J79" s="403"/>
      <c r="K79" s="403"/>
    </row>
    <row r="80" spans="1:15">
      <c r="C80" s="403"/>
      <c r="D80" s="403"/>
      <c r="E80" s="403"/>
      <c r="F80" s="403"/>
      <c r="G80" s="403"/>
      <c r="H80" s="403"/>
      <c r="I80" s="403"/>
      <c r="J80" s="403"/>
      <c r="K80" s="403"/>
    </row>
    <row r="81" spans="3:11">
      <c r="C81" s="403"/>
      <c r="D81" s="403"/>
      <c r="E81" s="403"/>
      <c r="F81" s="403"/>
      <c r="G81" s="403"/>
      <c r="H81" s="403"/>
      <c r="I81" s="403"/>
      <c r="J81" s="403"/>
      <c r="K81" s="403"/>
    </row>
    <row r="82" spans="3:11">
      <c r="C82" s="403"/>
      <c r="D82" s="403"/>
      <c r="E82" s="403"/>
      <c r="F82" s="403"/>
      <c r="G82" s="403"/>
      <c r="H82" s="403"/>
      <c r="I82" s="403"/>
      <c r="J82" s="403"/>
      <c r="K82" s="403"/>
    </row>
    <row r="83" spans="3:11">
      <c r="C83" s="403"/>
      <c r="D83" s="403"/>
      <c r="E83" s="403"/>
      <c r="F83" s="403"/>
      <c r="G83" s="403"/>
      <c r="H83" s="403"/>
      <c r="I83" s="403"/>
      <c r="J83" s="403"/>
      <c r="K83" s="403"/>
    </row>
    <row r="84" spans="3:11">
      <c r="C84" s="403"/>
      <c r="D84" s="403"/>
      <c r="E84" s="403"/>
      <c r="F84" s="403"/>
      <c r="G84" s="403"/>
      <c r="H84" s="403"/>
      <c r="I84" s="403"/>
      <c r="J84" s="403"/>
      <c r="K84" s="403"/>
    </row>
    <row r="85" spans="3:11">
      <c r="C85" s="403"/>
      <c r="D85" s="403"/>
      <c r="E85" s="403"/>
      <c r="F85" s="403"/>
      <c r="G85" s="403"/>
      <c r="H85" s="403"/>
      <c r="I85" s="403"/>
      <c r="J85" s="403"/>
      <c r="K85" s="403"/>
    </row>
    <row r="86" spans="3:11">
      <c r="C86" s="403"/>
      <c r="D86" s="403"/>
      <c r="E86" s="403"/>
      <c r="F86" s="403"/>
      <c r="G86" s="403"/>
      <c r="H86" s="403"/>
      <c r="I86" s="403"/>
      <c r="J86" s="403"/>
      <c r="K86" s="403"/>
    </row>
    <row r="87" spans="3:11">
      <c r="C87" s="403"/>
      <c r="D87" s="403"/>
      <c r="E87" s="403"/>
      <c r="F87" s="403"/>
      <c r="G87" s="403"/>
      <c r="H87" s="403"/>
      <c r="I87" s="403"/>
      <c r="J87" s="403"/>
      <c r="K87" s="403"/>
    </row>
    <row r="88" spans="3:11">
      <c r="C88" s="403"/>
      <c r="D88" s="403"/>
      <c r="E88" s="403"/>
      <c r="F88" s="403"/>
      <c r="G88" s="403"/>
      <c r="H88" s="403"/>
      <c r="I88" s="403"/>
      <c r="J88" s="403"/>
      <c r="K88" s="403"/>
    </row>
    <row r="89" spans="3:11">
      <c r="C89" s="403"/>
      <c r="D89" s="403"/>
      <c r="E89" s="403"/>
      <c r="F89" s="403"/>
      <c r="G89" s="403"/>
      <c r="H89" s="403"/>
      <c r="I89" s="403"/>
      <c r="J89" s="403"/>
      <c r="K89" s="403"/>
    </row>
    <row r="90" spans="3:11">
      <c r="C90" s="403"/>
      <c r="D90" s="403"/>
      <c r="E90" s="403"/>
      <c r="F90" s="403"/>
      <c r="G90" s="403"/>
      <c r="H90" s="403"/>
      <c r="I90" s="403"/>
      <c r="J90" s="403"/>
      <c r="K90" s="403"/>
    </row>
    <row r="91" spans="3:11">
      <c r="C91" s="403"/>
      <c r="D91" s="403"/>
      <c r="E91" s="403"/>
      <c r="F91" s="403"/>
      <c r="G91" s="403"/>
      <c r="H91" s="403"/>
      <c r="I91" s="403"/>
      <c r="J91" s="403"/>
      <c r="K91" s="403"/>
    </row>
    <row r="92" spans="3:11">
      <c r="C92" s="403"/>
      <c r="D92" s="403"/>
      <c r="E92" s="403"/>
      <c r="F92" s="403"/>
      <c r="G92" s="403"/>
      <c r="H92" s="403"/>
      <c r="I92" s="403"/>
      <c r="J92" s="403"/>
      <c r="K92" s="403"/>
    </row>
    <row r="93" spans="3:11">
      <c r="C93" s="403"/>
      <c r="D93" s="403"/>
      <c r="E93" s="403"/>
      <c r="F93" s="403"/>
      <c r="G93" s="403"/>
      <c r="H93" s="403"/>
      <c r="I93" s="403"/>
      <c r="J93" s="403"/>
      <c r="K93" s="403"/>
    </row>
    <row r="94" spans="3:11">
      <c r="C94" s="403"/>
      <c r="D94" s="403"/>
      <c r="E94" s="403"/>
      <c r="F94" s="403"/>
      <c r="G94" s="403"/>
      <c r="H94" s="403"/>
      <c r="I94" s="403"/>
      <c r="J94" s="403"/>
      <c r="K94" s="403"/>
    </row>
    <row r="95" spans="3:11">
      <c r="C95" s="403"/>
      <c r="D95" s="403"/>
      <c r="E95" s="403"/>
      <c r="F95" s="403"/>
      <c r="G95" s="403"/>
      <c r="H95" s="403"/>
      <c r="I95" s="403"/>
      <c r="J95" s="403"/>
      <c r="K95" s="403"/>
    </row>
    <row r="96" spans="3:11">
      <c r="C96" s="403"/>
      <c r="D96" s="403"/>
      <c r="E96" s="403"/>
      <c r="F96" s="403"/>
      <c r="G96" s="403"/>
      <c r="H96" s="403"/>
      <c r="I96" s="403"/>
      <c r="J96" s="403"/>
      <c r="K96" s="403"/>
    </row>
    <row r="97" spans="3:11">
      <c r="C97" s="403"/>
      <c r="D97" s="403"/>
      <c r="E97" s="403"/>
      <c r="F97" s="403"/>
      <c r="G97" s="403"/>
      <c r="H97" s="403"/>
      <c r="I97" s="403"/>
      <c r="J97" s="403"/>
      <c r="K97" s="403"/>
    </row>
    <row r="98" spans="3:11">
      <c r="C98" s="403"/>
      <c r="D98" s="403"/>
      <c r="E98" s="403"/>
      <c r="F98" s="403"/>
      <c r="G98" s="403"/>
      <c r="H98" s="403"/>
      <c r="I98" s="403"/>
      <c r="J98" s="403"/>
      <c r="K98" s="403"/>
    </row>
    <row r="99" spans="3:11">
      <c r="C99" s="403"/>
      <c r="D99" s="403"/>
      <c r="E99" s="403"/>
      <c r="F99" s="403"/>
      <c r="G99" s="403"/>
      <c r="H99" s="403"/>
      <c r="I99" s="403"/>
      <c r="J99" s="403"/>
      <c r="K99" s="403"/>
    </row>
    <row r="100" spans="3:11">
      <c r="C100" s="403"/>
      <c r="D100" s="403"/>
      <c r="E100" s="403"/>
      <c r="F100" s="403"/>
      <c r="G100" s="403"/>
      <c r="H100" s="403"/>
      <c r="I100" s="403"/>
      <c r="J100" s="403"/>
      <c r="K100" s="403"/>
    </row>
    <row r="101" spans="3:11">
      <c r="C101" s="403"/>
      <c r="D101" s="403"/>
      <c r="E101" s="403"/>
      <c r="F101" s="403"/>
      <c r="G101" s="403"/>
      <c r="H101" s="403"/>
      <c r="I101" s="403"/>
      <c r="J101" s="403"/>
      <c r="K101" s="403"/>
    </row>
    <row r="102" spans="3:11">
      <c r="C102" s="403"/>
      <c r="D102" s="403"/>
      <c r="E102" s="403"/>
      <c r="F102" s="403"/>
      <c r="G102" s="403"/>
      <c r="H102" s="403"/>
      <c r="I102" s="403"/>
      <c r="J102" s="403"/>
      <c r="K102" s="403"/>
    </row>
    <row r="103" spans="3:11">
      <c r="C103" s="403"/>
      <c r="D103" s="403"/>
      <c r="E103" s="403"/>
      <c r="F103" s="403"/>
      <c r="G103" s="403"/>
      <c r="H103" s="403"/>
      <c r="I103" s="403"/>
      <c r="J103" s="403"/>
      <c r="K103" s="403"/>
    </row>
    <row r="104" spans="3:11">
      <c r="C104" s="403"/>
      <c r="D104" s="403"/>
      <c r="E104" s="403"/>
      <c r="F104" s="403"/>
      <c r="G104" s="403"/>
      <c r="H104" s="403"/>
      <c r="I104" s="403"/>
      <c r="J104" s="403"/>
      <c r="K104" s="403"/>
    </row>
    <row r="105" spans="3:11">
      <c r="C105" s="403"/>
      <c r="D105" s="403"/>
      <c r="E105" s="403"/>
      <c r="F105" s="403"/>
      <c r="G105" s="403"/>
      <c r="H105" s="403"/>
      <c r="I105" s="403"/>
      <c r="J105" s="403"/>
      <c r="K105" s="403"/>
    </row>
  </sheetData>
  <mergeCells count="1">
    <mergeCell ref="B2:G2"/>
  </mergeCells>
  <printOptions horizontalCentered="1"/>
  <pageMargins left="0.1" right="0.1" top="0.1" bottom="0.1" header="0" footer="0"/>
  <pageSetup paperSize="8"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O213"/>
  <sheetViews>
    <sheetView showZeros="0" view="pageBreakPreview" topLeftCell="A7" zoomScale="40" zoomScaleNormal="58" zoomScaleSheetLayoutView="40" zoomScalePageLayoutView="40" workbookViewId="0">
      <selection activeCell="P26" sqref="P26"/>
    </sheetView>
  </sheetViews>
  <sheetFormatPr baseColWidth="10" defaultColWidth="9" defaultRowHeight="29"/>
  <cols>
    <col min="1" max="1" width="24.5" style="158" customWidth="1"/>
    <col min="2" max="2" width="18.5" style="159" customWidth="1"/>
    <col min="3" max="3" width="64.83203125" style="159" customWidth="1"/>
    <col min="4" max="4" width="59.1640625" style="160" customWidth="1"/>
    <col min="5" max="5" width="47.5" style="157" customWidth="1"/>
    <col min="6" max="6" width="48.5" style="157" customWidth="1"/>
    <col min="7" max="7" width="46.1640625" style="157" customWidth="1"/>
    <col min="8" max="8" width="41.1640625" style="157" customWidth="1"/>
    <col min="9" max="9" width="45.5" style="158" customWidth="1"/>
    <col min="10" max="10" width="52.1640625" style="157" customWidth="1"/>
    <col min="11" max="11" width="41.1640625" style="157" hidden="1" customWidth="1"/>
    <col min="12" max="12" width="38.1640625" style="157" hidden="1" customWidth="1"/>
    <col min="13" max="13" width="25.1640625" style="161" hidden="1" customWidth="1"/>
    <col min="14" max="14" width="25.1640625" style="162" hidden="1" customWidth="1"/>
    <col min="15" max="15" width="35.1640625" style="163" hidden="1" customWidth="1"/>
    <col min="16" max="16" width="51.83203125" style="163" customWidth="1"/>
    <col min="17" max="17" width="34.5" style="164" customWidth="1"/>
    <col min="18" max="18" width="32.5" style="158" hidden="1" customWidth="1"/>
    <col min="19" max="19" width="65.5" style="158" customWidth="1"/>
    <col min="20" max="20" width="52.5" style="165" customWidth="1"/>
    <col min="21" max="21" width="48.1640625" style="158" customWidth="1"/>
    <col min="22" max="28" width="34.5" style="158" customWidth="1"/>
    <col min="29" max="32" width="9" style="158" customWidth="1"/>
    <col min="33" max="16383" width="9" style="158"/>
    <col min="16384" max="16384" width="9" style="158" bestFit="1"/>
  </cols>
  <sheetData>
    <row r="1" spans="1:21" s="146" customFormat="1" ht="50" customHeight="1">
      <c r="A1" s="166" t="s">
        <v>75</v>
      </c>
      <c r="B1" s="167"/>
      <c r="C1" s="167"/>
      <c r="D1" s="168"/>
      <c r="E1" s="169"/>
      <c r="F1" s="169"/>
      <c r="G1" s="169"/>
      <c r="H1" s="169"/>
      <c r="I1" s="169"/>
      <c r="J1" s="169"/>
      <c r="K1" s="169"/>
      <c r="L1" s="169"/>
      <c r="M1" s="170"/>
      <c r="N1" s="171"/>
      <c r="O1" s="172"/>
      <c r="P1" s="172"/>
      <c r="Q1" s="173"/>
      <c r="R1" s="169"/>
      <c r="S1" s="169"/>
      <c r="T1" s="169"/>
      <c r="U1" s="174"/>
    </row>
    <row r="2" spans="1:21" s="147" customFormat="1" ht="24" customHeight="1" thickBot="1">
      <c r="A2" s="175"/>
      <c r="B2" s="176"/>
      <c r="C2" s="177"/>
      <c r="D2" s="178"/>
      <c r="E2" s="179">
        <f>D4-D12</f>
        <v>-4545500.3045012951</v>
      </c>
      <c r="F2" s="179"/>
      <c r="G2" s="179"/>
      <c r="H2" s="180" t="s">
        <v>76</v>
      </c>
      <c r="I2" s="181"/>
      <c r="J2" s="181"/>
      <c r="K2" s="181"/>
      <c r="L2" s="181"/>
      <c r="M2" s="182"/>
      <c r="N2" s="183"/>
      <c r="O2" s="184"/>
      <c r="P2" s="184"/>
      <c r="Q2" s="185"/>
      <c r="R2" s="175"/>
      <c r="S2" s="175"/>
      <c r="T2" s="175"/>
      <c r="U2" s="186"/>
    </row>
    <row r="3" spans="1:21" s="148" customFormat="1" ht="62" customHeight="1" thickTop="1" thickBot="1">
      <c r="A3" s="952" t="s">
        <v>77</v>
      </c>
      <c r="B3" s="953"/>
      <c r="C3" s="954" t="s">
        <v>78</v>
      </c>
      <c r="D3" s="955"/>
      <c r="E3" s="955"/>
      <c r="F3" s="187"/>
      <c r="G3" s="188" t="s">
        <v>79</v>
      </c>
      <c r="H3" s="189"/>
      <c r="I3" s="190"/>
      <c r="J3" s="191"/>
      <c r="K3" s="191"/>
      <c r="L3" s="191"/>
      <c r="M3" s="192"/>
      <c r="N3" s="193"/>
      <c r="O3" s="191"/>
      <c r="P3" s="191"/>
      <c r="Q3" s="191"/>
      <c r="R3" s="191"/>
      <c r="S3" s="194"/>
      <c r="T3" s="191"/>
    </row>
    <row r="4" spans="1:21" s="149" customFormat="1" ht="56" customHeight="1" thickTop="1" thickBot="1">
      <c r="A4" s="195" t="s">
        <v>80</v>
      </c>
      <c r="B4" s="196" t="s">
        <v>81</v>
      </c>
      <c r="C4" s="197" t="s">
        <v>82</v>
      </c>
      <c r="D4" s="956">
        <v>217501556.115897</v>
      </c>
      <c r="E4" s="957"/>
      <c r="F4" s="198"/>
      <c r="G4" s="199" t="s">
        <v>36</v>
      </c>
      <c r="H4" s="200">
        <f>D17+D18</f>
        <v>65250466.833179399</v>
      </c>
      <c r="I4" s="201">
        <v>0.32090000000000002</v>
      </c>
      <c r="J4" s="202"/>
      <c r="K4" s="202"/>
      <c r="L4" s="202"/>
      <c r="M4" s="203"/>
      <c r="N4" s="204"/>
      <c r="O4" s="202"/>
      <c r="P4" s="202"/>
      <c r="Q4" s="202"/>
      <c r="R4" s="202"/>
      <c r="S4" s="202"/>
      <c r="T4" s="202"/>
    </row>
    <row r="5" spans="1:21" s="149" customFormat="1" ht="56" customHeight="1" thickTop="1" thickBot="1">
      <c r="A5" s="205" t="s">
        <v>83</v>
      </c>
      <c r="B5" s="206" t="s">
        <v>84</v>
      </c>
      <c r="C5" s="207" t="s">
        <v>85</v>
      </c>
      <c r="D5" s="958">
        <f>D4+Sheet1!E6+Sheet1!E5+Sheet1!E4</f>
        <v>232860904.00218076</v>
      </c>
      <c r="E5" s="957"/>
      <c r="F5" s="198"/>
      <c r="G5" s="208" t="s">
        <v>86</v>
      </c>
      <c r="H5" s="209">
        <f>-E51</f>
        <v>65250466.802618816</v>
      </c>
      <c r="I5" s="210">
        <f>H5/H4</f>
        <v>0.99999999953164198</v>
      </c>
      <c r="J5" s="202"/>
      <c r="K5" s="202"/>
      <c r="L5" s="202"/>
      <c r="M5" s="203"/>
      <c r="N5" s="204"/>
      <c r="O5" s="202"/>
      <c r="P5" s="202"/>
      <c r="Q5" s="202"/>
      <c r="R5" s="202"/>
      <c r="S5" s="202"/>
      <c r="T5" s="202"/>
    </row>
    <row r="6" spans="1:21" s="149" customFormat="1" ht="56" customHeight="1" thickTop="1" thickBot="1">
      <c r="A6" s="211" t="s">
        <v>87</v>
      </c>
      <c r="B6" s="196">
        <v>45189</v>
      </c>
      <c r="C6" s="202"/>
      <c r="D6" s="202"/>
      <c r="E6" s="202"/>
      <c r="F6" s="212"/>
      <c r="G6" s="213" t="s">
        <v>56</v>
      </c>
      <c r="H6" s="214">
        <f>H4-H5</f>
        <v>3.0560582876205444E-2</v>
      </c>
      <c r="I6" s="215">
        <f>H6/H4</f>
        <v>4.6835807250754572E-10</v>
      </c>
      <c r="J6" s="202"/>
      <c r="K6" s="202"/>
      <c r="L6" s="202"/>
      <c r="M6" s="203"/>
      <c r="N6" s="204"/>
      <c r="O6" s="202"/>
      <c r="P6" s="202"/>
      <c r="Q6" s="202"/>
      <c r="R6" s="202"/>
      <c r="S6" s="216" t="s">
        <v>88</v>
      </c>
      <c r="T6" s="216"/>
      <c r="U6" s="217"/>
    </row>
    <row r="7" spans="1:21" s="149" customFormat="1" ht="56" customHeight="1" thickTop="1" thickBot="1">
      <c r="A7" s="218"/>
      <c r="B7" s="219"/>
      <c r="C7" s="220" t="s">
        <v>89</v>
      </c>
      <c r="D7" s="523">
        <f>SUMIF($Q$19:$Q$204,C7,$D$19:$D$204)</f>
        <v>2696379.5977641498</v>
      </c>
      <c r="E7" s="221">
        <f>D7/D5</f>
        <v>1.1579357253284983E-2</v>
      </c>
      <c r="F7" s="202"/>
      <c r="G7" s="222"/>
      <c r="H7" s="223"/>
      <c r="I7" s="224"/>
      <c r="J7" s="198"/>
      <c r="K7" s="202"/>
      <c r="L7" s="202"/>
      <c r="M7" s="203"/>
      <c r="N7" s="204"/>
      <c r="O7" s="202"/>
      <c r="P7" s="202"/>
      <c r="Q7" s="202"/>
      <c r="R7" s="202"/>
      <c r="S7" s="202"/>
      <c r="T7" s="202"/>
    </row>
    <row r="8" spans="1:21" s="149" customFormat="1" ht="56" customHeight="1" thickTop="1" thickBot="1">
      <c r="A8" s="218"/>
      <c r="B8" s="219"/>
      <c r="C8" s="225" t="s">
        <v>90</v>
      </c>
      <c r="D8" s="524">
        <f>SUMIF($Q$19:$Q$204,C8,$D$19:$D$204)</f>
        <v>0</v>
      </c>
      <c r="E8" s="226">
        <f>D8/D5</f>
        <v>0</v>
      </c>
      <c r="F8" s="212"/>
      <c r="G8" s="959" t="s">
        <v>91</v>
      </c>
      <c r="H8" s="960"/>
      <c r="I8" s="961"/>
      <c r="J8" s="202"/>
      <c r="K8" s="202"/>
      <c r="L8" s="202"/>
      <c r="M8" s="203"/>
      <c r="N8" s="204"/>
      <c r="O8" s="202"/>
      <c r="P8" s="202"/>
      <c r="Q8" s="202"/>
      <c r="R8" s="202"/>
      <c r="S8" s="202"/>
      <c r="T8" s="202"/>
    </row>
    <row r="9" spans="1:21" s="149" customFormat="1" ht="56" customHeight="1" thickTop="1" thickBot="1">
      <c r="A9" s="202"/>
      <c r="B9" s="227"/>
      <c r="C9" s="228" t="s">
        <v>92</v>
      </c>
      <c r="D9" s="525">
        <f>SUMIF($Q$19:$Q$204,C9,$D$19:$D$204)</f>
        <v>3238453.0561303003</v>
      </c>
      <c r="E9" s="229">
        <f>D9/D5</f>
        <v>1.3907242480257535E-2</v>
      </c>
      <c r="F9" s="212"/>
      <c r="G9" s="230" t="s">
        <v>93</v>
      </c>
      <c r="H9" s="231">
        <f>D5*0.05</f>
        <v>11643045.200109039</v>
      </c>
      <c r="I9" s="232">
        <v>0.05</v>
      </c>
      <c r="J9" s="202"/>
      <c r="K9" s="202"/>
      <c r="L9" s="202"/>
      <c r="M9" s="203"/>
      <c r="N9" s="204"/>
      <c r="O9" s="202"/>
      <c r="P9" s="202"/>
      <c r="Q9" s="202"/>
      <c r="R9" s="202"/>
      <c r="S9" s="202"/>
      <c r="T9" s="202"/>
    </row>
    <row r="10" spans="1:21" s="149" customFormat="1" ht="56" customHeight="1" thickTop="1" thickBot="1">
      <c r="A10" s="218"/>
      <c r="B10" s="233"/>
      <c r="C10" s="234" t="s">
        <v>94</v>
      </c>
      <c r="D10" s="526">
        <f>SUMIF($Q$19:$Q$204,C10,$D$19:$D$204)</f>
        <v>218808603.364268</v>
      </c>
      <c r="E10" s="235">
        <f>D10/D5</f>
        <v>0.93965367137035094</v>
      </c>
      <c r="F10" s="212"/>
      <c r="G10" s="236" t="s">
        <v>86</v>
      </c>
      <c r="H10" s="237">
        <f>-G51</f>
        <v>11102352.801309438</v>
      </c>
      <c r="I10" s="210">
        <f>H10/H9</f>
        <v>0.95356091215771144</v>
      </c>
      <c r="J10" s="202"/>
      <c r="K10" s="202"/>
      <c r="L10" s="238"/>
      <c r="M10" s="239"/>
      <c r="N10" s="204"/>
      <c r="O10" s="202"/>
      <c r="P10" s="202"/>
      <c r="Q10" s="239"/>
      <c r="R10" s="202"/>
      <c r="S10" s="202"/>
      <c r="T10" s="202"/>
    </row>
    <row r="11" spans="1:21" s="150" customFormat="1" ht="56" customHeight="1" thickTop="1" thickBot="1">
      <c r="A11" s="240"/>
      <c r="B11" s="241"/>
      <c r="C11" s="242"/>
      <c r="D11" s="242"/>
      <c r="E11" s="242"/>
      <c r="F11" s="212"/>
      <c r="G11" s="243" t="s">
        <v>56</v>
      </c>
      <c r="H11" s="214">
        <f>H9-H10</f>
        <v>540692.39879960008</v>
      </c>
      <c r="I11" s="215">
        <f>H11/H9</f>
        <v>4.6439087842288583E-2</v>
      </c>
      <c r="J11" s="242"/>
      <c r="K11" s="244"/>
      <c r="L11" s="244"/>
      <c r="M11" s="245"/>
      <c r="N11" s="246"/>
      <c r="O11" s="247"/>
      <c r="P11" s="247"/>
      <c r="Q11" s="248"/>
      <c r="R11" s="242"/>
      <c r="S11" s="242"/>
      <c r="T11" s="249"/>
    </row>
    <row r="12" spans="1:21" s="151" customFormat="1" ht="56" customHeight="1" thickTop="1">
      <c r="A12" s="250"/>
      <c r="B12" s="251"/>
      <c r="C12" s="252" t="s">
        <v>23</v>
      </c>
      <c r="D12" s="253">
        <f>D51</f>
        <v>222047056.42039829</v>
      </c>
      <c r="E12" s="254">
        <f>D12/D5</f>
        <v>0.95356091385060848</v>
      </c>
      <c r="F12" s="255"/>
      <c r="G12" s="256"/>
      <c r="H12" s="257"/>
      <c r="I12" s="258"/>
      <c r="J12" s="259"/>
      <c r="K12" s="255"/>
      <c r="L12" s="255"/>
      <c r="M12" s="260"/>
      <c r="N12" s="261"/>
      <c r="O12" s="262"/>
      <c r="P12" s="262"/>
      <c r="Q12" s="263"/>
      <c r="R12" s="264"/>
      <c r="S12" s="264"/>
      <c r="T12" s="265"/>
    </row>
    <row r="13" spans="1:21" s="151" customFormat="1" ht="56" customHeight="1">
      <c r="A13" s="250"/>
      <c r="B13" s="251"/>
      <c r="C13" s="220" t="s">
        <v>95</v>
      </c>
      <c r="D13" s="266">
        <f>D5-D12</f>
        <v>10813847.58178246</v>
      </c>
      <c r="E13" s="267">
        <f>D13/D5</f>
        <v>4.6439086149391517E-2</v>
      </c>
      <c r="F13" s="255"/>
      <c r="G13" s="256"/>
      <c r="H13" s="257"/>
      <c r="I13" s="258"/>
      <c r="J13" s="259"/>
      <c r="K13" s="255"/>
      <c r="L13" s="255"/>
      <c r="M13" s="260"/>
      <c r="N13" s="261"/>
      <c r="O13" s="262"/>
      <c r="P13" s="262"/>
      <c r="Q13" s="263"/>
      <c r="R13" s="264"/>
      <c r="S13" s="264"/>
      <c r="T13" s="265"/>
    </row>
    <row r="14" spans="1:21" s="151" customFormat="1" ht="48" customHeight="1" thickBot="1">
      <c r="A14" s="250"/>
      <c r="B14" s="251"/>
      <c r="C14" s="268"/>
      <c r="D14" s="269"/>
      <c r="E14" s="255"/>
      <c r="F14" s="255"/>
      <c r="G14" s="256"/>
      <c r="H14" s="257"/>
      <c r="I14" s="258"/>
      <c r="J14" s="259"/>
      <c r="K14" s="255"/>
      <c r="L14" s="255"/>
      <c r="M14" s="260"/>
      <c r="N14" s="261"/>
      <c r="O14" s="262"/>
      <c r="P14" s="262"/>
      <c r="Q14" s="263"/>
      <c r="R14" s="264"/>
      <c r="S14" s="264"/>
      <c r="T14" s="265"/>
    </row>
    <row r="15" spans="1:21" s="152" customFormat="1" ht="35" customHeight="1" thickBot="1">
      <c r="A15" s="937" t="s">
        <v>96</v>
      </c>
      <c r="B15" s="946" t="s">
        <v>97</v>
      </c>
      <c r="C15" s="947"/>
      <c r="D15" s="939" t="s">
        <v>98</v>
      </c>
      <c r="E15" s="941" t="s">
        <v>99</v>
      </c>
      <c r="F15" s="941" t="s">
        <v>100</v>
      </c>
      <c r="G15" s="941" t="s">
        <v>101</v>
      </c>
      <c r="H15" s="945" t="s">
        <v>102</v>
      </c>
      <c r="I15" s="945" t="s">
        <v>103</v>
      </c>
      <c r="J15" s="949" t="s">
        <v>104</v>
      </c>
      <c r="K15" s="951" t="s">
        <v>105</v>
      </c>
      <c r="L15" s="951" t="s">
        <v>106</v>
      </c>
      <c r="M15" s="945" t="s">
        <v>107</v>
      </c>
      <c r="N15" s="948" t="s">
        <v>108</v>
      </c>
      <c r="O15" s="943" t="s">
        <v>109</v>
      </c>
      <c r="P15" s="945" t="s">
        <v>110</v>
      </c>
      <c r="Q15" s="945" t="s">
        <v>111</v>
      </c>
      <c r="R15" s="945" t="s">
        <v>112</v>
      </c>
      <c r="S15" s="576" t="s">
        <v>113</v>
      </c>
      <c r="T15" s="577"/>
    </row>
    <row r="16" spans="1:21" s="152" customFormat="1" ht="53" customHeight="1" thickBot="1">
      <c r="A16" s="938"/>
      <c r="B16" s="944"/>
      <c r="C16" s="944"/>
      <c r="D16" s="940"/>
      <c r="E16" s="940"/>
      <c r="F16" s="940"/>
      <c r="G16" s="940"/>
      <c r="H16" s="940"/>
      <c r="I16" s="940"/>
      <c r="J16" s="950"/>
      <c r="K16" s="944"/>
      <c r="L16" s="944"/>
      <c r="M16" s="940"/>
      <c r="N16" s="940"/>
      <c r="O16" s="944"/>
      <c r="P16" s="940"/>
      <c r="Q16" s="940"/>
      <c r="R16" s="940"/>
      <c r="S16" s="575" t="s">
        <v>114</v>
      </c>
      <c r="T16" s="578" t="s">
        <v>115</v>
      </c>
    </row>
    <row r="17" spans="1:67" s="153" customFormat="1" ht="40.25" customHeight="1" thickBot="1">
      <c r="A17" s="579" t="s">
        <v>116</v>
      </c>
      <c r="B17" s="925" t="s">
        <v>117</v>
      </c>
      <c r="C17" s="926"/>
      <c r="D17" s="900">
        <f>D4*0.2</f>
        <v>43500311.2231794</v>
      </c>
      <c r="E17" s="580"/>
      <c r="F17" s="580"/>
      <c r="G17" s="580"/>
      <c r="H17" s="580"/>
      <c r="I17" s="581">
        <f t="shared" ref="I17:I46" si="0">D17*0.15</f>
        <v>6525046.68347691</v>
      </c>
      <c r="J17" s="582">
        <f>SUM(D17:G17)</f>
        <v>43500311.2231794</v>
      </c>
      <c r="K17" s="583">
        <f>J17</f>
        <v>43500311.2231794</v>
      </c>
      <c r="L17" s="583" t="str">
        <f t="shared" ref="L17:L43" si="1">IF(OR($Q17="Approved via Acconex",$Q17="Approved via Mail"),J17,"")</f>
        <v/>
      </c>
      <c r="M17" s="584">
        <v>45253</v>
      </c>
      <c r="N17" s="584">
        <v>45028</v>
      </c>
      <c r="O17" s="585"/>
      <c r="P17" s="586" t="str">
        <f t="shared" ref="P17:P35" ca="1" si="2">IF(ISBLANK(N17),"",IF(Q17="Received","Paid",IF((TODAY()-N17)&lt;21,"Due","Over Due")&amp;" by "&amp;TEXT((TODAY()-N17)-21,0)&amp;" Days"))</f>
        <v>Paid</v>
      </c>
      <c r="Q17" s="587" t="s">
        <v>94</v>
      </c>
      <c r="R17" s="588"/>
      <c r="S17" s="589" t="str">
        <f t="array" ref="S17:T17">IFERROR(_xlfn.CHOOSECOLS(_xlfn._xlws.FILTER($X$17:$Z$21,$X$17:$X$21=Q17),2,3),"")</f>
        <v>Transaction Received</v>
      </c>
      <c r="T17" s="590" t="str">
        <v>Transaction Placed</v>
      </c>
      <c r="V17" s="270"/>
      <c r="X17" s="153" t="s">
        <v>94</v>
      </c>
      <c r="Y17" s="153" t="s">
        <v>118</v>
      </c>
      <c r="Z17" s="153" t="s">
        <v>119</v>
      </c>
    </row>
    <row r="18" spans="1:67" s="153" customFormat="1" ht="40.25" customHeight="1" thickBot="1">
      <c r="A18" s="591" t="s">
        <v>120</v>
      </c>
      <c r="B18" s="925" t="s">
        <v>121</v>
      </c>
      <c r="C18" s="926"/>
      <c r="D18" s="901">
        <v>21750155.609999999</v>
      </c>
      <c r="E18" s="592"/>
      <c r="F18" s="592"/>
      <c r="G18" s="592"/>
      <c r="H18" s="592"/>
      <c r="I18" s="593">
        <f t="shared" si="0"/>
        <v>3262523.3414999996</v>
      </c>
      <c r="J18" s="594">
        <f>SUM(D18:G18)</f>
        <v>21750155.609999999</v>
      </c>
      <c r="K18" s="595">
        <f>IF(Q18="Received",J18,"")</f>
        <v>21750155.609999999</v>
      </c>
      <c r="L18" s="594" t="str">
        <f t="shared" si="1"/>
        <v/>
      </c>
      <c r="M18" s="596">
        <v>45616</v>
      </c>
      <c r="N18" s="596">
        <v>45618</v>
      </c>
      <c r="O18" s="597"/>
      <c r="P18" s="598" t="str">
        <f t="shared" ca="1" si="2"/>
        <v>Paid</v>
      </c>
      <c r="Q18" s="599" t="s">
        <v>94</v>
      </c>
      <c r="R18" s="600"/>
      <c r="S18" s="601" t="str">
        <f t="array" ref="S18:T18">IFERROR(_xlfn.CHOOSECOLS(_xlfn._xlws.FILTER($X$17:$Z$21,$X$17:$X$21=Q18),2,3),"")</f>
        <v>Transaction Received</v>
      </c>
      <c r="T18" s="602" t="str">
        <v>Transaction Placed</v>
      </c>
      <c r="V18" s="270"/>
    </row>
    <row r="19" spans="1:67" s="154" customFormat="1" ht="54" customHeight="1">
      <c r="A19" s="603" t="s">
        <v>122</v>
      </c>
      <c r="B19" s="925" t="s">
        <v>123</v>
      </c>
      <c r="C19" s="926"/>
      <c r="D19" s="902">
        <v>2571831.8036303301</v>
      </c>
      <c r="E19" s="604">
        <f t="shared" ref="E19:E28" si="3">-D19*0.2</f>
        <v>-514366.36072606605</v>
      </c>
      <c r="F19" s="604"/>
      <c r="G19" s="604">
        <f t="shared" ref="G19:G38" si="4">-D19*0.1</f>
        <v>-257183.18036303303</v>
      </c>
      <c r="H19" s="604">
        <f t="shared" ref="H19:H47" si="5">E19*0.15</f>
        <v>-77154.954108909908</v>
      </c>
      <c r="I19" s="605">
        <f t="shared" si="0"/>
        <v>385774.77054454951</v>
      </c>
      <c r="J19" s="606">
        <f t="shared" ref="J19:J48" si="6">SUM(D19:I19)</f>
        <v>2108902.078976871</v>
      </c>
      <c r="K19" s="607">
        <f>IF($Q19="Received",J19,"")</f>
        <v>2108902.078976871</v>
      </c>
      <c r="L19" s="607" t="str">
        <f t="shared" si="1"/>
        <v/>
      </c>
      <c r="M19" s="608">
        <v>45274</v>
      </c>
      <c r="N19" s="608">
        <v>45313</v>
      </c>
      <c r="O19" s="609"/>
      <c r="P19" s="610" t="str">
        <f t="shared" ca="1" si="2"/>
        <v>Paid</v>
      </c>
      <c r="Q19" s="599" t="s">
        <v>94</v>
      </c>
      <c r="R19" s="611"/>
      <c r="S19" s="612" t="str">
        <f t="array" ref="S19:T19">IFERROR(_xlfn.CHOOSECOLS(_xlfn._xlws.FILTER($X$17:$Z$21,$X$17:$X$21=Q19),2,3),"")</f>
        <v>Transaction Received</v>
      </c>
      <c r="T19" s="613" t="str">
        <v>Transaction Placed</v>
      </c>
      <c r="U19" s="271">
        <f>D19</f>
        <v>2571831.8036303301</v>
      </c>
      <c r="V19" s="271"/>
      <c r="X19" s="272" t="s">
        <v>92</v>
      </c>
      <c r="Y19" s="273" t="s">
        <v>124</v>
      </c>
      <c r="Z19" s="273" t="s">
        <v>125</v>
      </c>
      <c r="BO19" s="154" t="s">
        <v>76</v>
      </c>
    </row>
    <row r="20" spans="1:67" s="155" customFormat="1" ht="54" customHeight="1">
      <c r="A20" s="614" t="s">
        <v>126</v>
      </c>
      <c r="B20" s="925" t="s">
        <v>127</v>
      </c>
      <c r="C20" s="926"/>
      <c r="D20" s="903">
        <v>1727779.4778470499</v>
      </c>
      <c r="E20" s="615">
        <f t="shared" si="3"/>
        <v>-345555.89556941</v>
      </c>
      <c r="F20" s="615"/>
      <c r="G20" s="615">
        <f t="shared" si="4"/>
        <v>-172777.947784705</v>
      </c>
      <c r="H20" s="615">
        <f t="shared" si="5"/>
        <v>-51833.384335411502</v>
      </c>
      <c r="I20" s="616">
        <f t="shared" si="0"/>
        <v>259166.92167705749</v>
      </c>
      <c r="J20" s="617">
        <f t="shared" si="6"/>
        <v>1416779.1718345808</v>
      </c>
      <c r="K20" s="618">
        <f t="shared" ref="K20:K42" si="7">IF(Q20="Received",J20,"")</f>
        <v>1416779.1718345808</v>
      </c>
      <c r="L20" s="618" t="str">
        <f t="shared" si="1"/>
        <v/>
      </c>
      <c r="M20" s="619">
        <v>45321</v>
      </c>
      <c r="N20" s="619">
        <v>45377</v>
      </c>
      <c r="O20" s="620"/>
      <c r="P20" s="621" t="str">
        <f t="shared" ca="1" si="2"/>
        <v>Paid</v>
      </c>
      <c r="Q20" s="622" t="s">
        <v>94</v>
      </c>
      <c r="R20" s="623" t="s">
        <v>128</v>
      </c>
      <c r="S20" s="624" t="str">
        <f t="array" ref="S20:T20">IFERROR(_xlfn.CHOOSECOLS(_xlfn._xlws.FILTER($X$17:$Z$21,$X$17:$X$21=Q20),2,3),"")</f>
        <v>Transaction Received</v>
      </c>
      <c r="T20" s="625" t="str">
        <v>Transaction Placed</v>
      </c>
      <c r="U20" s="274">
        <f t="shared" ref="U20:U49" si="8">D20+U19</f>
        <v>4299611.2814773805</v>
      </c>
      <c r="X20" s="272" t="s">
        <v>90</v>
      </c>
      <c r="Y20" s="273" t="s">
        <v>129</v>
      </c>
      <c r="Z20" s="273" t="s">
        <v>130</v>
      </c>
    </row>
    <row r="21" spans="1:67" s="154" customFormat="1" ht="54" customHeight="1">
      <c r="A21" s="626" t="s">
        <v>131</v>
      </c>
      <c r="B21" s="925" t="s">
        <v>132</v>
      </c>
      <c r="C21" s="926"/>
      <c r="D21" s="904">
        <v>1363441.88975725</v>
      </c>
      <c r="E21" s="627">
        <f t="shared" si="3"/>
        <v>-272688.37795145001</v>
      </c>
      <c r="F21" s="627"/>
      <c r="G21" s="627">
        <f t="shared" si="4"/>
        <v>-136344.188975725</v>
      </c>
      <c r="H21" s="627">
        <f t="shared" si="5"/>
        <v>-40903.256692717499</v>
      </c>
      <c r="I21" s="628">
        <f t="shared" si="0"/>
        <v>204516.28346358749</v>
      </c>
      <c r="J21" s="629">
        <f t="shared" si="6"/>
        <v>1118022.3496009449</v>
      </c>
      <c r="K21" s="630">
        <f t="shared" si="7"/>
        <v>1118022.3496009449</v>
      </c>
      <c r="L21" s="630" t="str">
        <f t="shared" si="1"/>
        <v/>
      </c>
      <c r="M21" s="631">
        <v>45404</v>
      </c>
      <c r="N21" s="631">
        <v>45630</v>
      </c>
      <c r="O21" s="632"/>
      <c r="P21" s="633" t="str">
        <f t="shared" ca="1" si="2"/>
        <v>Paid</v>
      </c>
      <c r="Q21" s="622" t="s">
        <v>94</v>
      </c>
      <c r="R21" s="634" t="s">
        <v>133</v>
      </c>
      <c r="S21" s="635" t="str">
        <f t="array" ref="S21:T21">IFERROR(_xlfn.CHOOSECOLS(_xlfn._xlws.FILTER($X$17:$Z$21,$X$17:$X$21=Q21),2,3),"")</f>
        <v>Transaction Received</v>
      </c>
      <c r="T21" s="636" t="str">
        <v>Transaction Placed</v>
      </c>
      <c r="U21" s="274">
        <f t="shared" si="8"/>
        <v>5663053.17123463</v>
      </c>
      <c r="V21" s="271"/>
      <c r="X21" s="275" t="s">
        <v>89</v>
      </c>
      <c r="Y21" s="276" t="s">
        <v>134</v>
      </c>
      <c r="Z21" s="154" t="s">
        <v>135</v>
      </c>
    </row>
    <row r="22" spans="1:67" s="154" customFormat="1" ht="54" customHeight="1">
      <c r="A22" s="614" t="s">
        <v>136</v>
      </c>
      <c r="B22" s="925" t="s">
        <v>137</v>
      </c>
      <c r="C22" s="926"/>
      <c r="D22" s="903">
        <v>963176.5</v>
      </c>
      <c r="E22" s="615">
        <f t="shared" si="3"/>
        <v>-192635.30000000002</v>
      </c>
      <c r="F22" s="615"/>
      <c r="G22" s="615">
        <f t="shared" si="4"/>
        <v>-96317.650000000009</v>
      </c>
      <c r="H22" s="615">
        <f t="shared" si="5"/>
        <v>-28895.295000000002</v>
      </c>
      <c r="I22" s="616">
        <f t="shared" si="0"/>
        <v>144476.47500000001</v>
      </c>
      <c r="J22" s="617">
        <f t="shared" si="6"/>
        <v>789804.72999999986</v>
      </c>
      <c r="K22" s="618">
        <f t="shared" si="7"/>
        <v>789804.72999999986</v>
      </c>
      <c r="L22" s="618" t="str">
        <f t="shared" si="1"/>
        <v/>
      </c>
      <c r="M22" s="619">
        <v>45427</v>
      </c>
      <c r="N22" s="619">
        <v>45425</v>
      </c>
      <c r="O22" s="620"/>
      <c r="P22" s="621" t="str">
        <f t="shared" ca="1" si="2"/>
        <v>Paid</v>
      </c>
      <c r="Q22" s="622" t="s">
        <v>94</v>
      </c>
      <c r="R22" s="623">
        <v>45571</v>
      </c>
      <c r="S22" s="624" t="str">
        <f t="array" ref="S22:T22">IFERROR(_xlfn.CHOOSECOLS(_xlfn._xlws.FILTER($X$17:$Z$21,$X$17:$X$21=Q22),2,3),"")</f>
        <v>Transaction Received</v>
      </c>
      <c r="T22" s="637" t="str">
        <v>Transaction Placed</v>
      </c>
      <c r="U22" s="274">
        <f t="shared" si="8"/>
        <v>6626229.67123463</v>
      </c>
      <c r="V22" s="271"/>
    </row>
    <row r="23" spans="1:67" s="154" customFormat="1" ht="54" customHeight="1">
      <c r="A23" s="626" t="s">
        <v>138</v>
      </c>
      <c r="B23" s="925" t="s">
        <v>139</v>
      </c>
      <c r="C23" s="926"/>
      <c r="D23" s="904">
        <v>6730484.9425204303</v>
      </c>
      <c r="E23" s="627">
        <f t="shared" si="3"/>
        <v>-1346096.9885040862</v>
      </c>
      <c r="F23" s="627"/>
      <c r="G23" s="627">
        <f t="shared" si="4"/>
        <v>-673048.49425204308</v>
      </c>
      <c r="H23" s="627">
        <f t="shared" si="5"/>
        <v>-201914.54827561291</v>
      </c>
      <c r="I23" s="628">
        <f t="shared" si="0"/>
        <v>1009572.7413780645</v>
      </c>
      <c r="J23" s="629">
        <f t="shared" si="6"/>
        <v>5518997.6528667528</v>
      </c>
      <c r="K23" s="630">
        <f t="shared" si="7"/>
        <v>5518997.6528667528</v>
      </c>
      <c r="L23" s="630" t="str">
        <f t="shared" si="1"/>
        <v/>
      </c>
      <c r="M23" s="631">
        <v>45440</v>
      </c>
      <c r="N23" s="631">
        <v>45440</v>
      </c>
      <c r="O23" s="632"/>
      <c r="P23" s="633" t="str">
        <f t="shared" ca="1" si="2"/>
        <v>Paid</v>
      </c>
      <c r="Q23" s="622" t="s">
        <v>94</v>
      </c>
      <c r="R23" s="634" t="s">
        <v>140</v>
      </c>
      <c r="S23" s="635" t="str">
        <f t="array" ref="S23:T23">IFERROR(_xlfn.CHOOSECOLS(_xlfn._xlws.FILTER($X$17:$Z$21,$X$17:$X$21=Q23),2,3),"")</f>
        <v>Transaction Received</v>
      </c>
      <c r="T23" s="638" t="str">
        <v>Transaction Placed</v>
      </c>
      <c r="U23" s="274">
        <f t="shared" si="8"/>
        <v>13356714.61375506</v>
      </c>
      <c r="V23" s="271"/>
    </row>
    <row r="24" spans="1:67" s="155" customFormat="1" ht="54" customHeight="1">
      <c r="A24" s="614" t="s">
        <v>141</v>
      </c>
      <c r="B24" s="925" t="s">
        <v>142</v>
      </c>
      <c r="C24" s="926"/>
      <c r="D24" s="903">
        <v>3008114.0911941398</v>
      </c>
      <c r="E24" s="615">
        <f t="shared" si="3"/>
        <v>-601622.81823882798</v>
      </c>
      <c r="F24" s="615"/>
      <c r="G24" s="615">
        <f t="shared" si="4"/>
        <v>-300811.40911941399</v>
      </c>
      <c r="H24" s="615">
        <f t="shared" si="5"/>
        <v>-90243.422735824191</v>
      </c>
      <c r="I24" s="616">
        <f t="shared" si="0"/>
        <v>451217.11367912096</v>
      </c>
      <c r="J24" s="617">
        <f t="shared" si="6"/>
        <v>2466653.5547791943</v>
      </c>
      <c r="K24" s="618">
        <f t="shared" si="7"/>
        <v>2466653.5547791943</v>
      </c>
      <c r="L24" s="618" t="str">
        <f t="shared" si="1"/>
        <v/>
      </c>
      <c r="M24" s="619">
        <v>45411</v>
      </c>
      <c r="N24" s="619">
        <v>45470</v>
      </c>
      <c r="O24" s="620"/>
      <c r="P24" s="621" t="str">
        <f t="shared" ca="1" si="2"/>
        <v>Paid</v>
      </c>
      <c r="Q24" s="622" t="s">
        <v>94</v>
      </c>
      <c r="R24" s="623" t="s">
        <v>143</v>
      </c>
      <c r="S24" s="624" t="str">
        <f t="array" ref="S24:T24">IFERROR(_xlfn.CHOOSECOLS(_xlfn._xlws.FILTER($X$17:$Z$21,$X$17:$X$21=Q24),2,3),"")</f>
        <v>Transaction Received</v>
      </c>
      <c r="T24" s="637" t="str">
        <v>Transaction Placed</v>
      </c>
      <c r="U24" s="274">
        <f t="shared" si="8"/>
        <v>16364828.7049492</v>
      </c>
    </row>
    <row r="25" spans="1:67" s="154" customFormat="1" ht="54" customHeight="1">
      <c r="A25" s="626" t="s">
        <v>144</v>
      </c>
      <c r="B25" s="925" t="s">
        <v>145</v>
      </c>
      <c r="C25" s="926"/>
      <c r="D25" s="904">
        <v>3972034.6786647001</v>
      </c>
      <c r="E25" s="627">
        <f t="shared" si="3"/>
        <v>-794406.9357329401</v>
      </c>
      <c r="F25" s="627"/>
      <c r="G25" s="627">
        <f t="shared" si="4"/>
        <v>-397203.46786647005</v>
      </c>
      <c r="H25" s="627">
        <f t="shared" si="5"/>
        <v>-119161.04035994101</v>
      </c>
      <c r="I25" s="628">
        <f t="shared" si="0"/>
        <v>595805.20179970504</v>
      </c>
      <c r="J25" s="629">
        <f t="shared" si="6"/>
        <v>3257068.4365050541</v>
      </c>
      <c r="K25" s="630">
        <f t="shared" si="7"/>
        <v>3257068.4365050541</v>
      </c>
      <c r="L25" s="630" t="str">
        <f t="shared" si="1"/>
        <v/>
      </c>
      <c r="M25" s="639">
        <v>45469</v>
      </c>
      <c r="N25" s="639">
        <v>45501</v>
      </c>
      <c r="O25" s="640"/>
      <c r="P25" s="633" t="str">
        <f t="shared" ca="1" si="2"/>
        <v>Paid</v>
      </c>
      <c r="Q25" s="622" t="s">
        <v>94</v>
      </c>
      <c r="R25" s="634" t="s">
        <v>146</v>
      </c>
      <c r="S25" s="635" t="str">
        <f t="array" ref="S25:T25">IFERROR(_xlfn.CHOOSECOLS(_xlfn._xlws.FILTER($X$17:$Z$21,$X$17:$X$21=Q25),2,3),"")</f>
        <v>Transaction Received</v>
      </c>
      <c r="T25" s="636" t="str">
        <v>Transaction Placed</v>
      </c>
      <c r="U25" s="274">
        <f t="shared" si="8"/>
        <v>20336863.383613899</v>
      </c>
      <c r="V25" s="271"/>
    </row>
    <row r="26" spans="1:67" s="155" customFormat="1" ht="54" customHeight="1">
      <c r="A26" s="614" t="s">
        <v>147</v>
      </c>
      <c r="B26" s="925" t="s">
        <v>148</v>
      </c>
      <c r="C26" s="926"/>
      <c r="D26" s="903">
        <v>5556560.4115375802</v>
      </c>
      <c r="E26" s="615">
        <f t="shared" si="3"/>
        <v>-1111312.0823075161</v>
      </c>
      <c r="F26" s="615"/>
      <c r="G26" s="615">
        <f t="shared" si="4"/>
        <v>-555656.04115375807</v>
      </c>
      <c r="H26" s="615">
        <f t="shared" si="5"/>
        <v>-166696.81234612741</v>
      </c>
      <c r="I26" s="616">
        <f t="shared" si="0"/>
        <v>833484.06173063698</v>
      </c>
      <c r="J26" s="617">
        <f t="shared" si="6"/>
        <v>4556379.5374608161</v>
      </c>
      <c r="K26" s="618">
        <f t="shared" si="7"/>
        <v>4556379.5374608161</v>
      </c>
      <c r="L26" s="618" t="str">
        <f t="shared" si="1"/>
        <v/>
      </c>
      <c r="M26" s="619">
        <v>45523</v>
      </c>
      <c r="N26" s="619">
        <v>45478</v>
      </c>
      <c r="O26" s="620"/>
      <c r="P26" s="621" t="str">
        <f t="shared" ca="1" si="2"/>
        <v>Paid</v>
      </c>
      <c r="Q26" s="622" t="s">
        <v>94</v>
      </c>
      <c r="R26" s="623"/>
      <c r="S26" s="624" t="str">
        <f t="array" ref="S26:T26">IFERROR(_xlfn.CHOOSECOLS(_xlfn._xlws.FILTER($X$17:$Z$21,$X$17:$X$21=Q26),2,3),"")</f>
        <v>Transaction Received</v>
      </c>
      <c r="T26" s="637" t="str">
        <v>Transaction Placed</v>
      </c>
      <c r="U26" s="274">
        <f t="shared" si="8"/>
        <v>25893423.79515148</v>
      </c>
    </row>
    <row r="27" spans="1:67" s="155" customFormat="1" ht="54" customHeight="1">
      <c r="A27" s="626" t="s">
        <v>149</v>
      </c>
      <c r="B27" s="925" t="s">
        <v>150</v>
      </c>
      <c r="C27" s="926"/>
      <c r="D27" s="904">
        <v>6512584.8300000001</v>
      </c>
      <c r="E27" s="627">
        <f t="shared" si="3"/>
        <v>-1302516.966</v>
      </c>
      <c r="F27" s="627"/>
      <c r="G27" s="627">
        <f t="shared" si="4"/>
        <v>-651258.48300000001</v>
      </c>
      <c r="H27" s="627">
        <f t="shared" si="5"/>
        <v>-195377.54490000001</v>
      </c>
      <c r="I27" s="628">
        <f t="shared" si="0"/>
        <v>976887.72450000001</v>
      </c>
      <c r="J27" s="629">
        <f t="shared" si="6"/>
        <v>5340319.5605999995</v>
      </c>
      <c r="K27" s="630">
        <f t="shared" si="7"/>
        <v>5340319.5605999995</v>
      </c>
      <c r="L27" s="630" t="str">
        <f t="shared" si="1"/>
        <v/>
      </c>
      <c r="M27" s="631">
        <v>45535</v>
      </c>
      <c r="N27" s="631">
        <v>45571</v>
      </c>
      <c r="O27" s="632"/>
      <c r="P27" s="633" t="str">
        <f t="shared" ca="1" si="2"/>
        <v>Paid</v>
      </c>
      <c r="Q27" s="622" t="s">
        <v>94</v>
      </c>
      <c r="R27" s="634">
        <v>45588</v>
      </c>
      <c r="S27" s="635" t="str">
        <f t="array" ref="S27:T27">IFERROR(_xlfn.CHOOSECOLS(_xlfn._xlws.FILTER($X$17:$Z$21,$X$17:$X$21=Q27),2,3),"")</f>
        <v>Transaction Received</v>
      </c>
      <c r="T27" s="638" t="str">
        <v>Transaction Placed</v>
      </c>
      <c r="U27" s="274">
        <f t="shared" si="8"/>
        <v>32406008.625151478</v>
      </c>
    </row>
    <row r="28" spans="1:67" s="155" customFormat="1" ht="54" customHeight="1">
      <c r="A28" s="614" t="s">
        <v>151</v>
      </c>
      <c r="B28" s="925" t="s">
        <v>152</v>
      </c>
      <c r="C28" s="926"/>
      <c r="D28" s="903">
        <v>5212335</v>
      </c>
      <c r="E28" s="615">
        <f t="shared" si="3"/>
        <v>-1042467</v>
      </c>
      <c r="F28" s="615"/>
      <c r="G28" s="615">
        <f t="shared" si="4"/>
        <v>-521233.5</v>
      </c>
      <c r="H28" s="615">
        <f t="shared" si="5"/>
        <v>-156370.04999999999</v>
      </c>
      <c r="I28" s="616">
        <f t="shared" si="0"/>
        <v>781850.25</v>
      </c>
      <c r="J28" s="617">
        <f t="shared" si="6"/>
        <v>4274114.7</v>
      </c>
      <c r="K28" s="618">
        <f t="shared" si="7"/>
        <v>4274114.7</v>
      </c>
      <c r="L28" s="618" t="str">
        <f t="shared" si="1"/>
        <v/>
      </c>
      <c r="M28" s="619">
        <v>45567</v>
      </c>
      <c r="N28" s="619">
        <v>45586</v>
      </c>
      <c r="O28" s="620"/>
      <c r="P28" s="621" t="str">
        <f t="shared" ca="1" si="2"/>
        <v>Paid</v>
      </c>
      <c r="Q28" s="622" t="s">
        <v>94</v>
      </c>
      <c r="R28" s="623"/>
      <c r="S28" s="624" t="str">
        <f t="array" ref="S28:T28">IFERROR(_xlfn.CHOOSECOLS(_xlfn._xlws.FILTER($X$17:$Z$21,$X$17:$X$21=Q28),2,3),"")</f>
        <v>Transaction Received</v>
      </c>
      <c r="T28" s="637" t="str">
        <v>Transaction Placed</v>
      </c>
      <c r="U28" s="274">
        <f t="shared" si="8"/>
        <v>37618343.625151478</v>
      </c>
    </row>
    <row r="29" spans="1:67" s="154" customFormat="1" ht="54" customHeight="1">
      <c r="A29" s="626" t="s">
        <v>153</v>
      </c>
      <c r="B29" s="925" t="s">
        <v>154</v>
      </c>
      <c r="C29" s="926"/>
      <c r="D29" s="904">
        <v>11178597.35</v>
      </c>
      <c r="E29" s="627">
        <f t="shared" ref="E29:E45" si="9">-D29*32.09%</f>
        <v>-3587211.8896150002</v>
      </c>
      <c r="F29" s="627"/>
      <c r="G29" s="627">
        <f t="shared" si="4"/>
        <v>-1117859.7350000001</v>
      </c>
      <c r="H29" s="627">
        <f t="shared" si="5"/>
        <v>-538081.78344224999</v>
      </c>
      <c r="I29" s="628">
        <f t="shared" si="0"/>
        <v>1676789.6024999998</v>
      </c>
      <c r="J29" s="629">
        <f t="shared" si="6"/>
        <v>7612233.5444427496</v>
      </c>
      <c r="K29" s="630">
        <f t="shared" si="7"/>
        <v>7612233.5444427496</v>
      </c>
      <c r="L29" s="630" t="str">
        <f t="shared" si="1"/>
        <v/>
      </c>
      <c r="M29" s="631">
        <v>45619</v>
      </c>
      <c r="N29" s="631">
        <v>45639</v>
      </c>
      <c r="O29" s="632"/>
      <c r="P29" s="633" t="str">
        <f t="shared" ca="1" si="2"/>
        <v>Paid</v>
      </c>
      <c r="Q29" s="622" t="s">
        <v>94</v>
      </c>
      <c r="R29" s="634"/>
      <c r="S29" s="635" t="str">
        <f t="array" ref="S29:T29">IFERROR(_xlfn.CHOOSECOLS(_xlfn._xlws.FILTER($X$17:$Z$21,$X$17:$X$21=Q29),2,3),"")</f>
        <v>Transaction Received</v>
      </c>
      <c r="T29" s="638" t="str">
        <v>Transaction Placed</v>
      </c>
      <c r="U29" s="274">
        <f t="shared" si="8"/>
        <v>48796940.975151479</v>
      </c>
      <c r="V29" s="271"/>
    </row>
    <row r="30" spans="1:67" s="155" customFormat="1" ht="54" customHeight="1">
      <c r="A30" s="614" t="s">
        <v>155</v>
      </c>
      <c r="B30" s="925" t="s">
        <v>156</v>
      </c>
      <c r="C30" s="926"/>
      <c r="D30" s="903">
        <v>5338593.8515882799</v>
      </c>
      <c r="E30" s="615">
        <f t="shared" si="9"/>
        <v>-1713154.7669746792</v>
      </c>
      <c r="F30" s="615"/>
      <c r="G30" s="615">
        <f t="shared" si="4"/>
        <v>-533859.38515882799</v>
      </c>
      <c r="H30" s="615">
        <f t="shared" si="5"/>
        <v>-256973.21504620186</v>
      </c>
      <c r="I30" s="616">
        <f t="shared" si="0"/>
        <v>800789.07773824199</v>
      </c>
      <c r="J30" s="617">
        <f t="shared" si="6"/>
        <v>3635395.5621468127</v>
      </c>
      <c r="K30" s="618">
        <f t="shared" si="7"/>
        <v>3635395.5621468127</v>
      </c>
      <c r="L30" s="618" t="str">
        <f t="shared" si="1"/>
        <v/>
      </c>
      <c r="M30" s="619">
        <v>45634</v>
      </c>
      <c r="N30" s="619">
        <v>45655</v>
      </c>
      <c r="O30" s="620"/>
      <c r="P30" s="621" t="str">
        <f t="shared" ca="1" si="2"/>
        <v>Paid</v>
      </c>
      <c r="Q30" s="622" t="s">
        <v>94</v>
      </c>
      <c r="R30" s="623"/>
      <c r="S30" s="624" t="str">
        <f t="array" ref="S30:T30">IFERROR(_xlfn.CHOOSECOLS(_xlfn._xlws.FILTER($X$17:$Z$21,$X$17:$X$21=Q30),2,3),"")</f>
        <v>Transaction Received</v>
      </c>
      <c r="T30" s="637" t="str">
        <v>Transaction Placed</v>
      </c>
      <c r="U30" s="274">
        <f t="shared" si="8"/>
        <v>54135534.826739758</v>
      </c>
      <c r="V30" s="271"/>
    </row>
    <row r="31" spans="1:67" s="155" customFormat="1" ht="54" customHeight="1">
      <c r="A31" s="626" t="s">
        <v>157</v>
      </c>
      <c r="B31" s="925" t="s">
        <v>158</v>
      </c>
      <c r="C31" s="926"/>
      <c r="D31" s="904">
        <v>10523911.064477701</v>
      </c>
      <c r="E31" s="627">
        <f t="shared" si="9"/>
        <v>-3377123.0605908944</v>
      </c>
      <c r="F31" s="627"/>
      <c r="G31" s="627">
        <f t="shared" si="4"/>
        <v>-1052391.10644777</v>
      </c>
      <c r="H31" s="627">
        <f t="shared" si="5"/>
        <v>-506568.45908863412</v>
      </c>
      <c r="I31" s="628">
        <f t="shared" si="0"/>
        <v>1578586.6596716552</v>
      </c>
      <c r="J31" s="629">
        <f t="shared" si="6"/>
        <v>7166415.0980220567</v>
      </c>
      <c r="K31" s="630">
        <f t="shared" si="7"/>
        <v>7166415.0980220567</v>
      </c>
      <c r="L31" s="630" t="str">
        <f t="shared" si="1"/>
        <v/>
      </c>
      <c r="M31" s="631">
        <v>45676</v>
      </c>
      <c r="N31" s="631">
        <v>45690</v>
      </c>
      <c r="O31" s="632"/>
      <c r="P31" s="633" t="str">
        <f t="shared" ca="1" si="2"/>
        <v>Paid</v>
      </c>
      <c r="Q31" s="622" t="s">
        <v>94</v>
      </c>
      <c r="R31" s="634"/>
      <c r="S31" s="635" t="str">
        <f t="array" ref="S31:T31">IFERROR(_xlfn.CHOOSECOLS(_xlfn._xlws.FILTER($X$17:$Z$21,$X$17:$X$21=Q31),2,3),"")</f>
        <v>Transaction Received</v>
      </c>
      <c r="T31" s="638" t="str">
        <v>Transaction Placed</v>
      </c>
      <c r="U31" s="274">
        <f t="shared" si="8"/>
        <v>64659445.891217455</v>
      </c>
      <c r="V31" s="271"/>
    </row>
    <row r="32" spans="1:67" s="155" customFormat="1" ht="54" customHeight="1">
      <c r="A32" s="614" t="s">
        <v>159</v>
      </c>
      <c r="B32" s="925" t="s">
        <v>160</v>
      </c>
      <c r="C32" s="926"/>
      <c r="D32" s="903">
        <v>14789522.58</v>
      </c>
      <c r="E32" s="615">
        <f t="shared" si="9"/>
        <v>-4745957.795922</v>
      </c>
      <c r="F32" s="615"/>
      <c r="G32" s="615">
        <f t="shared" si="4"/>
        <v>-1478952.2580000001</v>
      </c>
      <c r="H32" s="615">
        <f t="shared" si="5"/>
        <v>-711893.66938829992</v>
      </c>
      <c r="I32" s="616">
        <f t="shared" si="0"/>
        <v>2218428.3870000001</v>
      </c>
      <c r="J32" s="617">
        <f t="shared" si="6"/>
        <v>10071147.243689701</v>
      </c>
      <c r="K32" s="618">
        <f t="shared" si="7"/>
        <v>10071147.243689701</v>
      </c>
      <c r="L32" s="618" t="str">
        <f t="shared" si="1"/>
        <v/>
      </c>
      <c r="M32" s="619">
        <v>45701</v>
      </c>
      <c r="N32" s="619">
        <v>45718</v>
      </c>
      <c r="O32" s="620"/>
      <c r="P32" s="621" t="str">
        <f t="shared" ca="1" si="2"/>
        <v>Paid</v>
      </c>
      <c r="Q32" s="622" t="s">
        <v>94</v>
      </c>
      <c r="R32" s="623"/>
      <c r="S32" s="624" t="str">
        <f t="array" ref="S32:T32">IFERROR(_xlfn.CHOOSECOLS(_xlfn._xlws.FILTER($X$17:$Z$21,$X$17:$X$21=Q32),2,3),"")</f>
        <v>Transaction Received</v>
      </c>
      <c r="T32" s="637" t="str">
        <v>Transaction Placed</v>
      </c>
      <c r="U32" s="274">
        <f t="shared" si="8"/>
        <v>79448968.471217453</v>
      </c>
      <c r="V32" s="271"/>
    </row>
    <row r="33" spans="1:22" s="155" customFormat="1" ht="54" customHeight="1">
      <c r="A33" s="626" t="s">
        <v>161</v>
      </c>
      <c r="B33" s="925" t="s">
        <v>162</v>
      </c>
      <c r="C33" s="926"/>
      <c r="D33" s="904">
        <v>14091614.85</v>
      </c>
      <c r="E33" s="627">
        <f t="shared" si="9"/>
        <v>-4521999.2053650003</v>
      </c>
      <c r="F33" s="627"/>
      <c r="G33" s="627">
        <f t="shared" si="4"/>
        <v>-1409161.4850000001</v>
      </c>
      <c r="H33" s="627">
        <f t="shared" si="5"/>
        <v>-678299.88080475002</v>
      </c>
      <c r="I33" s="628">
        <f t="shared" si="0"/>
        <v>2113742.2275</v>
      </c>
      <c r="J33" s="629">
        <f t="shared" si="6"/>
        <v>9595896.506330248</v>
      </c>
      <c r="K33" s="630">
        <f t="shared" si="7"/>
        <v>9595896.506330248</v>
      </c>
      <c r="L33" s="630" t="str">
        <f t="shared" si="1"/>
        <v/>
      </c>
      <c r="M33" s="631">
        <v>45734</v>
      </c>
      <c r="N33" s="631">
        <v>45743</v>
      </c>
      <c r="O33" s="632"/>
      <c r="P33" s="633" t="str">
        <f t="shared" ca="1" si="2"/>
        <v>Paid</v>
      </c>
      <c r="Q33" s="622" t="s">
        <v>94</v>
      </c>
      <c r="R33" s="634"/>
      <c r="S33" s="635" t="str">
        <f t="array" ref="S33:T33">IFERROR(_xlfn.CHOOSECOLS(_xlfn._xlws.FILTER($X$17:$Z$21,$X$17:$X$21=Q33),2,3),"")</f>
        <v>Transaction Received</v>
      </c>
      <c r="T33" s="638" t="str">
        <v>Transaction Placed</v>
      </c>
      <c r="U33" s="274">
        <f t="shared" si="8"/>
        <v>93540583.321217448</v>
      </c>
      <c r="V33" s="271"/>
    </row>
    <row r="34" spans="1:22" s="155" customFormat="1" ht="54" customHeight="1">
      <c r="A34" s="614" t="s">
        <v>163</v>
      </c>
      <c r="B34" s="925" t="s">
        <v>164</v>
      </c>
      <c r="C34" s="926"/>
      <c r="D34" s="903">
        <v>5147125.92</v>
      </c>
      <c r="E34" s="615">
        <f t="shared" si="9"/>
        <v>-1651712.7077280001</v>
      </c>
      <c r="F34" s="615"/>
      <c r="G34" s="615">
        <f t="shared" si="4"/>
        <v>-514712.592</v>
      </c>
      <c r="H34" s="615">
        <f t="shared" si="5"/>
        <v>-247756.90615920001</v>
      </c>
      <c r="I34" s="616">
        <f t="shared" si="0"/>
        <v>772068.88799999992</v>
      </c>
      <c r="J34" s="617">
        <f t="shared" si="6"/>
        <v>3505012.6021127994</v>
      </c>
      <c r="K34" s="618">
        <f t="shared" si="7"/>
        <v>3505012.6021127994</v>
      </c>
      <c r="L34" s="618" t="str">
        <f t="shared" si="1"/>
        <v/>
      </c>
      <c r="M34" s="619">
        <v>45770</v>
      </c>
      <c r="N34" s="619">
        <v>45784</v>
      </c>
      <c r="O34" s="620"/>
      <c r="P34" s="621" t="str">
        <f t="shared" ca="1" si="2"/>
        <v>Paid</v>
      </c>
      <c r="Q34" s="622" t="s">
        <v>94</v>
      </c>
      <c r="R34" s="623"/>
      <c r="S34" s="624" t="str">
        <f t="array" ref="S34:T34">IFERROR(_xlfn.CHOOSECOLS(_xlfn._xlws.FILTER($X$17:$Z$21,$X$17:$X$21=Q34),2,3),"")</f>
        <v>Transaction Received</v>
      </c>
      <c r="T34" s="637" t="str">
        <v>Transaction Placed</v>
      </c>
      <c r="U34" s="274">
        <f t="shared" si="8"/>
        <v>98687709.241217449</v>
      </c>
      <c r="V34" s="271"/>
    </row>
    <row r="35" spans="1:22" s="155" customFormat="1" ht="54" customHeight="1">
      <c r="A35" s="626" t="s">
        <v>165</v>
      </c>
      <c r="B35" s="925" t="s">
        <v>166</v>
      </c>
      <c r="C35" s="926"/>
      <c r="D35" s="904">
        <v>14619843.800000001</v>
      </c>
      <c r="E35" s="627">
        <f t="shared" si="9"/>
        <v>-4691507.8754200004</v>
      </c>
      <c r="F35" s="627"/>
      <c r="G35" s="627">
        <f t="shared" si="4"/>
        <v>-1461984.3800000001</v>
      </c>
      <c r="H35" s="627">
        <f t="shared" si="5"/>
        <v>-703726.18131300004</v>
      </c>
      <c r="I35" s="628">
        <f t="shared" si="0"/>
        <v>2192976.5699999998</v>
      </c>
      <c r="J35" s="629">
        <f t="shared" si="6"/>
        <v>9955601.9332669992</v>
      </c>
      <c r="K35" s="630">
        <f t="shared" si="7"/>
        <v>9955601.9332669992</v>
      </c>
      <c r="L35" s="630" t="str">
        <f t="shared" si="1"/>
        <v/>
      </c>
      <c r="M35" s="631">
        <v>45790</v>
      </c>
      <c r="N35" s="631">
        <v>45801</v>
      </c>
      <c r="O35" s="632"/>
      <c r="P35" s="641" t="str">
        <f t="shared" ca="1" si="2"/>
        <v>Paid</v>
      </c>
      <c r="Q35" s="622" t="s">
        <v>94</v>
      </c>
      <c r="R35" s="634"/>
      <c r="S35" s="635" t="str">
        <f t="array" ref="S35:T35">IFERROR(_xlfn.CHOOSECOLS(_xlfn._xlws.FILTER($X$17:$Z$21,$X$17:$X$21=Q35),2,3),"")</f>
        <v>Transaction Received</v>
      </c>
      <c r="T35" s="638" t="str">
        <v>Transaction Placed</v>
      </c>
      <c r="U35" s="274">
        <f t="shared" si="8"/>
        <v>113307553.04121745</v>
      </c>
      <c r="V35" s="271"/>
    </row>
    <row r="36" spans="1:22" s="155" customFormat="1" ht="54" customHeight="1">
      <c r="A36" s="614" t="s">
        <v>167</v>
      </c>
      <c r="B36" s="925" t="s">
        <v>168</v>
      </c>
      <c r="C36" s="926"/>
      <c r="D36" s="903">
        <v>13904093.66</v>
      </c>
      <c r="E36" s="615">
        <f t="shared" si="9"/>
        <v>-4461823.6554940008</v>
      </c>
      <c r="F36" s="615"/>
      <c r="G36" s="615">
        <f t="shared" si="4"/>
        <v>-1390409.3660000002</v>
      </c>
      <c r="H36" s="615">
        <f t="shared" si="5"/>
        <v>-669273.54832410009</v>
      </c>
      <c r="I36" s="616">
        <f t="shared" si="0"/>
        <v>2085614.0489999999</v>
      </c>
      <c r="J36" s="617">
        <f t="shared" si="6"/>
        <v>9468201.1391818989</v>
      </c>
      <c r="K36" s="618">
        <f t="shared" si="7"/>
        <v>9468201.1391818989</v>
      </c>
      <c r="L36" s="618" t="str">
        <f t="shared" si="1"/>
        <v/>
      </c>
      <c r="M36" s="619">
        <v>45826</v>
      </c>
      <c r="N36" s="619">
        <v>45836</v>
      </c>
      <c r="O36" s="620"/>
      <c r="P36" s="642" t="str">
        <f ca="1">IF(ISBLANK(N36),"",IF(Q36="Received","Paid",IF((TODAY()-N36)&lt;21,"Due","Over Due")&amp;" For "&amp;TEXT((TODAY()-N36)-21,0)&amp;" Days"))</f>
        <v>Paid</v>
      </c>
      <c r="Q36" s="622" t="s">
        <v>94</v>
      </c>
      <c r="R36" s="623"/>
      <c r="S36" s="624" t="str">
        <f t="array" ref="S36:T36">IFERROR(_xlfn.CHOOSECOLS(_xlfn._xlws.FILTER($X$17:$Z$21,$X$17:$X$21=Q36),2,3),"")</f>
        <v>Transaction Received</v>
      </c>
      <c r="T36" s="637" t="str">
        <v>Transaction Placed</v>
      </c>
      <c r="U36" s="274">
        <f t="shared" si="8"/>
        <v>127211646.70121744</v>
      </c>
      <c r="V36" s="271"/>
    </row>
    <row r="37" spans="1:22" s="155" customFormat="1" ht="54" customHeight="1">
      <c r="A37" s="626" t="s">
        <v>169</v>
      </c>
      <c r="B37" s="925" t="s">
        <v>170</v>
      </c>
      <c r="C37" s="926"/>
      <c r="D37" s="904">
        <v>9497761.3599999994</v>
      </c>
      <c r="E37" s="627">
        <f t="shared" si="9"/>
        <v>-3047831.6204240001</v>
      </c>
      <c r="F37" s="627"/>
      <c r="G37" s="627">
        <f t="shared" si="4"/>
        <v>-949776.13599999994</v>
      </c>
      <c r="H37" s="627">
        <f t="shared" si="5"/>
        <v>-457174.74306359998</v>
      </c>
      <c r="I37" s="628">
        <f t="shared" si="0"/>
        <v>1424664.2039999999</v>
      </c>
      <c r="J37" s="629">
        <f t="shared" si="6"/>
        <v>6467643.064512399</v>
      </c>
      <c r="K37" s="630">
        <f t="shared" si="7"/>
        <v>6467643.064512399</v>
      </c>
      <c r="L37" s="630" t="str">
        <f t="shared" si="1"/>
        <v/>
      </c>
      <c r="M37" s="631">
        <v>45824</v>
      </c>
      <c r="N37" s="631">
        <v>45867</v>
      </c>
      <c r="O37" s="632"/>
      <c r="P37" s="641" t="str">
        <f ca="1">IF(ISBLANK(N37),"",IF(Q37="Received","Paid",IF((TODAY()-N37)&lt;21,"Due","Over Due")&amp;" For "&amp;TEXT((TODAY()-N37)-21,0)&amp;" Days"))</f>
        <v>Paid</v>
      </c>
      <c r="Q37" s="622" t="s">
        <v>94</v>
      </c>
      <c r="R37" s="634"/>
      <c r="S37" s="635" t="str">
        <f t="array" ref="S37:T37">IFERROR(_xlfn.CHOOSECOLS(_xlfn._xlws.FILTER($X$17:$Z$21,$X$17:$X$21=Q37),2,3),"")</f>
        <v>Transaction Received</v>
      </c>
      <c r="T37" s="638" t="str">
        <v>Transaction Placed</v>
      </c>
      <c r="U37" s="274">
        <f t="shared" si="8"/>
        <v>136709408.06121743</v>
      </c>
      <c r="V37" s="271"/>
    </row>
    <row r="38" spans="1:22" s="155" customFormat="1" ht="54" customHeight="1">
      <c r="A38" s="614" t="s">
        <v>171</v>
      </c>
      <c r="B38" s="925" t="s">
        <v>172</v>
      </c>
      <c r="C38" s="926"/>
      <c r="D38" s="903">
        <v>6813139.2599999998</v>
      </c>
      <c r="E38" s="615">
        <f t="shared" si="9"/>
        <v>-2186336.3885340001</v>
      </c>
      <c r="F38" s="615"/>
      <c r="G38" s="615">
        <f t="shared" si="4"/>
        <v>-681313.92599999998</v>
      </c>
      <c r="H38" s="615">
        <f t="shared" si="5"/>
        <v>-327950.45828010002</v>
      </c>
      <c r="I38" s="616">
        <f t="shared" si="0"/>
        <v>1021970.889</v>
      </c>
      <c r="J38" s="617">
        <f t="shared" si="6"/>
        <v>4639509.3761858996</v>
      </c>
      <c r="K38" s="618">
        <f t="shared" si="7"/>
        <v>4639509.3761858996</v>
      </c>
      <c r="L38" s="618" t="str">
        <f t="shared" si="1"/>
        <v/>
      </c>
      <c r="M38" s="619">
        <v>45904</v>
      </c>
      <c r="N38" s="619">
        <v>45916</v>
      </c>
      <c r="O38" s="620"/>
      <c r="P38" s="642" t="str">
        <f ca="1">IF(ISBLANK(N38),"",IF(Q38="Received","Paid",IF((TODAY()-N38)&lt;21,"Due","Over Due")&amp;" For "&amp;TEXT((TODAY()-N38)-21,0)&amp;" Days"))</f>
        <v>Paid</v>
      </c>
      <c r="Q38" s="622" t="s">
        <v>94</v>
      </c>
      <c r="R38" s="623"/>
      <c r="S38" s="624" t="str">
        <f t="array" ref="S38:T38">IFERROR(_xlfn.CHOOSECOLS(_xlfn._xlws.FILTER($X$17:$Z$21,$X$17:$X$21=Q38),2,3),"")</f>
        <v>Transaction Received</v>
      </c>
      <c r="T38" s="637" t="str">
        <v>Transaction Placed</v>
      </c>
      <c r="U38" s="274">
        <f t="shared" si="8"/>
        <v>143522547.32121742</v>
      </c>
      <c r="V38" s="271"/>
    </row>
    <row r="39" spans="1:22" s="155" customFormat="1" ht="54" customHeight="1">
      <c r="A39" s="626" t="s">
        <v>173</v>
      </c>
      <c r="B39" s="925" t="s">
        <v>174</v>
      </c>
      <c r="C39" s="926"/>
      <c r="D39" s="904">
        <v>5324464.1154271001</v>
      </c>
      <c r="E39" s="627">
        <f t="shared" si="9"/>
        <v>-1708620.5346405564</v>
      </c>
      <c r="F39" s="627"/>
      <c r="G39" s="627">
        <v>6909904.1799999997</v>
      </c>
      <c r="H39" s="627">
        <f t="shared" si="5"/>
        <v>-256293.08019608347</v>
      </c>
      <c r="I39" s="628">
        <f t="shared" si="0"/>
        <v>798669.61731406499</v>
      </c>
      <c r="J39" s="629">
        <f t="shared" si="6"/>
        <v>11068124.297904527</v>
      </c>
      <c r="K39" s="630">
        <f t="shared" si="7"/>
        <v>11068124.297904527</v>
      </c>
      <c r="L39" s="630" t="str">
        <f t="shared" si="1"/>
        <v/>
      </c>
      <c r="M39" s="631">
        <v>45915</v>
      </c>
      <c r="N39" s="631">
        <v>45946</v>
      </c>
      <c r="O39" s="632"/>
      <c r="P39" s="641" t="str">
        <f t="shared" ref="P39:P45" ca="1" si="10">IF(ISBLANK(N39),"",IF(Q39="Received","Paid",IF((TODAY()-N39)&lt;21,"Due","Over Due")&amp;" In "&amp;TEXT((TODAY()-N39)-21,0)&amp;" Days"))</f>
        <v>Paid</v>
      </c>
      <c r="Q39" s="622" t="s">
        <v>94</v>
      </c>
      <c r="R39" s="634"/>
      <c r="S39" s="635" t="str">
        <f t="array" ref="S39:T39">IFERROR(_xlfn.CHOOSECOLS(_xlfn._xlws.FILTER($X$17:$Z$21,$X$17:$X$21=Q39),2,3),"")</f>
        <v>Transaction Received</v>
      </c>
      <c r="T39" s="638" t="str">
        <v>Transaction Placed</v>
      </c>
      <c r="U39" s="274">
        <f t="shared" si="8"/>
        <v>148847011.43664452</v>
      </c>
      <c r="V39" s="271"/>
    </row>
    <row r="40" spans="1:22" s="155" customFormat="1" ht="54" customHeight="1">
      <c r="A40" s="614" t="s">
        <v>175</v>
      </c>
      <c r="B40" s="925" t="s">
        <v>176</v>
      </c>
      <c r="C40" s="926"/>
      <c r="D40" s="903">
        <v>6418102.3520914996</v>
      </c>
      <c r="E40" s="615">
        <f t="shared" si="9"/>
        <v>-2059569.0447861624</v>
      </c>
      <c r="F40" s="615"/>
      <c r="G40" s="615">
        <f t="shared" ref="G40:G47" si="11">-D40*5%</f>
        <v>-320905.117604575</v>
      </c>
      <c r="H40" s="615">
        <f t="shared" si="5"/>
        <v>-308935.35671792435</v>
      </c>
      <c r="I40" s="616">
        <f t="shared" si="0"/>
        <v>962715.35281372489</v>
      </c>
      <c r="J40" s="617">
        <f t="shared" si="6"/>
        <v>4691408.1857965626</v>
      </c>
      <c r="K40" s="618">
        <f t="shared" si="7"/>
        <v>4691408.1857965626</v>
      </c>
      <c r="L40" s="618" t="str">
        <f t="shared" si="1"/>
        <v/>
      </c>
      <c r="M40" s="619">
        <v>45949</v>
      </c>
      <c r="N40" s="619">
        <v>45963</v>
      </c>
      <c r="O40" s="620">
        <f>N40+21</f>
        <v>45984</v>
      </c>
      <c r="P40" s="642" t="str">
        <f t="shared" ca="1" si="10"/>
        <v>Paid</v>
      </c>
      <c r="Q40" s="622" t="s">
        <v>94</v>
      </c>
      <c r="R40" s="623"/>
      <c r="S40" s="624" t="str">
        <f t="array" ref="S40:T40">IFERROR(_xlfn.CHOOSECOLS(_xlfn._xlws.FILTER($X$17:$Z$21,$X$17:$X$21=Q40),2,3),"")</f>
        <v>Transaction Received</v>
      </c>
      <c r="T40" s="637" t="str">
        <v>Transaction Placed</v>
      </c>
      <c r="U40" s="274">
        <f t="shared" si="8"/>
        <v>155265113.78873602</v>
      </c>
      <c r="V40" s="271"/>
    </row>
    <row r="41" spans="1:22" s="155" customFormat="1" ht="54" customHeight="1">
      <c r="A41" s="626" t="s">
        <v>177</v>
      </c>
      <c r="B41" s="925" t="s">
        <v>178</v>
      </c>
      <c r="C41" s="926"/>
      <c r="D41" s="904">
        <v>18005054.059999999</v>
      </c>
      <c r="E41" s="627">
        <f t="shared" si="9"/>
        <v>-5777821.8478539996</v>
      </c>
      <c r="F41" s="627"/>
      <c r="G41" s="627">
        <f t="shared" si="11"/>
        <v>-900252.70299999998</v>
      </c>
      <c r="H41" s="627">
        <f t="shared" si="5"/>
        <v>-866673.27717809996</v>
      </c>
      <c r="I41" s="628">
        <f t="shared" si="0"/>
        <v>2700758.1089999997</v>
      </c>
      <c r="J41" s="629">
        <f t="shared" si="6"/>
        <v>13161064.340967899</v>
      </c>
      <c r="K41" s="630">
        <f t="shared" si="7"/>
        <v>13161064.340967899</v>
      </c>
      <c r="L41" s="630" t="str">
        <f t="shared" si="1"/>
        <v/>
      </c>
      <c r="M41" s="631">
        <v>45972</v>
      </c>
      <c r="N41" s="631">
        <v>45988</v>
      </c>
      <c r="O41" s="632"/>
      <c r="P41" s="641" t="str">
        <f t="shared" ca="1" si="10"/>
        <v>Paid</v>
      </c>
      <c r="Q41" s="622" t="s">
        <v>94</v>
      </c>
      <c r="R41" s="634"/>
      <c r="S41" s="635" t="str">
        <f t="array" ref="S41:T41">IFERROR(_xlfn.CHOOSECOLS(_xlfn._xlws.FILTER($X$17:$Z$21,$X$17:$X$21=Q41),2,3),"")</f>
        <v>Transaction Received</v>
      </c>
      <c r="T41" s="638" t="str">
        <v>Transaction Placed</v>
      </c>
      <c r="U41" s="274">
        <f t="shared" si="8"/>
        <v>173270167.84873602</v>
      </c>
      <c r="V41" s="271"/>
    </row>
    <row r="42" spans="1:22" s="155" customFormat="1" ht="54" customHeight="1">
      <c r="A42" s="614" t="s">
        <v>179</v>
      </c>
      <c r="B42" s="925" t="s">
        <v>180</v>
      </c>
      <c r="C42" s="926"/>
      <c r="D42" s="903">
        <v>9837424.5449645892</v>
      </c>
      <c r="E42" s="615">
        <f t="shared" si="9"/>
        <v>-3156829.5364791369</v>
      </c>
      <c r="F42" s="615"/>
      <c r="G42" s="615">
        <f t="shared" si="11"/>
        <v>-491871.22724822949</v>
      </c>
      <c r="H42" s="615">
        <f t="shared" si="5"/>
        <v>-473524.43047187052</v>
      </c>
      <c r="I42" s="616">
        <f t="shared" si="0"/>
        <v>1475613.6817446884</v>
      </c>
      <c r="J42" s="617">
        <f t="shared" si="6"/>
        <v>7190813.0325100413</v>
      </c>
      <c r="K42" s="618">
        <f t="shared" si="7"/>
        <v>7190813.0325100413</v>
      </c>
      <c r="L42" s="618" t="str">
        <f t="shared" si="1"/>
        <v/>
      </c>
      <c r="M42" s="619">
        <v>46001</v>
      </c>
      <c r="N42" s="619">
        <v>46015</v>
      </c>
      <c r="O42" s="620"/>
      <c r="P42" s="642" t="str">
        <f t="shared" ca="1" si="10"/>
        <v>Paid</v>
      </c>
      <c r="Q42" s="622" t="s">
        <v>94</v>
      </c>
      <c r="R42" s="623"/>
      <c r="S42" s="624" t="str">
        <f t="array" ref="S42:T42">IFERROR(_xlfn.CHOOSECOLS(_xlfn._xlws.FILTER($X$17:$Z$21,$X$17:$X$21=Q42),2,3),"")</f>
        <v>Transaction Received</v>
      </c>
      <c r="T42" s="637" t="str">
        <v>Transaction Placed</v>
      </c>
      <c r="U42" s="274">
        <f t="shared" si="8"/>
        <v>183107592.3937006</v>
      </c>
      <c r="V42" s="271"/>
    </row>
    <row r="43" spans="1:22" s="155" customFormat="1" ht="54" customHeight="1">
      <c r="A43" s="626" t="s">
        <v>181</v>
      </c>
      <c r="B43" s="942" t="s">
        <v>182</v>
      </c>
      <c r="C43" s="926"/>
      <c r="D43" s="904">
        <v>10126810.41</v>
      </c>
      <c r="E43" s="627">
        <f t="shared" si="9"/>
        <v>-3249693.4605690003</v>
      </c>
      <c r="F43" s="627"/>
      <c r="G43" s="627">
        <f t="shared" si="11"/>
        <v>-506340.52050000004</v>
      </c>
      <c r="H43" s="627">
        <f t="shared" si="5"/>
        <v>-487454.01908535004</v>
      </c>
      <c r="I43" s="628">
        <f t="shared" si="0"/>
        <v>1519021.5615000001</v>
      </c>
      <c r="J43" s="629">
        <f t="shared" si="6"/>
        <v>7402343.97134565</v>
      </c>
      <c r="K43" s="656">
        <f>IF(Q43="Received",J43,"")</f>
        <v>7402343.97134565</v>
      </c>
      <c r="L43" s="899" t="str">
        <f t="shared" si="1"/>
        <v/>
      </c>
      <c r="M43" s="898">
        <v>46022</v>
      </c>
      <c r="N43" s="898">
        <v>46051</v>
      </c>
      <c r="O43" s="897"/>
      <c r="P43" s="642" t="str">
        <f t="shared" ca="1" si="10"/>
        <v>Paid</v>
      </c>
      <c r="Q43" s="622" t="s">
        <v>94</v>
      </c>
      <c r="R43" s="634"/>
      <c r="S43" s="635" t="str">
        <f t="array" ref="S43:T43">IFERROR(_xlfn.CHOOSECOLS(_xlfn._xlws.FILTER($X$17:$Z$21,$X$17:$X$21=Q43),2,3),"")</f>
        <v>Transaction Received</v>
      </c>
      <c r="T43" s="638" t="str">
        <v>Transaction Placed</v>
      </c>
      <c r="U43" s="274">
        <f t="shared" si="8"/>
        <v>193234402.8037006</v>
      </c>
      <c r="V43" s="271"/>
    </row>
    <row r="44" spans="1:22" s="155" customFormat="1" ht="54" customHeight="1">
      <c r="A44" s="614" t="s">
        <v>183</v>
      </c>
      <c r="B44" s="925" t="s">
        <v>184</v>
      </c>
      <c r="C44" s="926"/>
      <c r="D44" s="903">
        <v>12479962.68</v>
      </c>
      <c r="E44" s="615">
        <f t="shared" si="9"/>
        <v>-4004820.0240120003</v>
      </c>
      <c r="F44" s="615"/>
      <c r="G44" s="615">
        <f t="shared" si="11"/>
        <v>-623998.13399999996</v>
      </c>
      <c r="H44" s="615">
        <f t="shared" si="5"/>
        <v>-600723.00360180007</v>
      </c>
      <c r="I44" s="616">
        <f t="shared" si="0"/>
        <v>1871994.402</v>
      </c>
      <c r="J44" s="617">
        <f t="shared" si="6"/>
        <v>9122415.9203862008</v>
      </c>
      <c r="K44" s="656">
        <f>IF(Q44="Received",J44,"")</f>
        <v>9122415.9203862008</v>
      </c>
      <c r="L44" s="656"/>
      <c r="M44" s="896">
        <v>46022</v>
      </c>
      <c r="N44" s="896">
        <v>46076</v>
      </c>
      <c r="O44" s="895"/>
      <c r="P44" s="642" t="str">
        <f t="shared" ca="1" si="10"/>
        <v>Paid</v>
      </c>
      <c r="Q44" s="622" t="s">
        <v>94</v>
      </c>
      <c r="R44" s="623"/>
      <c r="S44" s="624" t="str">
        <f t="array" ref="S44:T44">IFERROR(_xlfn.CHOOSECOLS(_xlfn._xlws.FILTER($X$17:$Z$21,$X$17:$X$21=Q44),2,3),"")</f>
        <v>Transaction Received</v>
      </c>
      <c r="T44" s="637" t="str">
        <v>Transaction Placed</v>
      </c>
      <c r="U44" s="274">
        <f t="shared" si="8"/>
        <v>205714365.4837006</v>
      </c>
      <c r="V44" s="271"/>
    </row>
    <row r="45" spans="1:22" s="155" customFormat="1" ht="54" customHeight="1">
      <c r="A45" s="884" t="s">
        <v>185</v>
      </c>
      <c r="B45" s="927" t="s">
        <v>186</v>
      </c>
      <c r="C45" s="928"/>
      <c r="D45" s="905">
        <v>8942936.2205674108</v>
      </c>
      <c r="E45" s="886">
        <f t="shared" si="9"/>
        <v>-2869788.2331800824</v>
      </c>
      <c r="F45" s="886"/>
      <c r="G45" s="886">
        <f t="shared" si="11"/>
        <v>-447146.81102837058</v>
      </c>
      <c r="H45" s="886">
        <f t="shared" si="5"/>
        <v>-430468.23497701233</v>
      </c>
      <c r="I45" s="890">
        <f t="shared" si="0"/>
        <v>1341440.4330851117</v>
      </c>
      <c r="J45" s="891">
        <f t="shared" si="6"/>
        <v>6536973.3744670572</v>
      </c>
      <c r="K45" s="656">
        <f>IF(Q45="Received",J45,"")</f>
        <v>6536973.3744670572</v>
      </c>
      <c r="L45" s="656"/>
      <c r="M45" s="896">
        <v>46094</v>
      </c>
      <c r="N45" s="896">
        <v>46124</v>
      </c>
      <c r="O45" s="895"/>
      <c r="P45" s="642" t="str">
        <f t="shared" ca="1" si="10"/>
        <v>Paid</v>
      </c>
      <c r="Q45" s="622" t="s">
        <v>94</v>
      </c>
      <c r="R45" s="623"/>
      <c r="S45" s="624" t="str">
        <f t="array" ref="S45:T45">IFERROR(_xlfn.CHOOSECOLS(_xlfn._xlws.FILTER($X$17:$Z$21,$X$17:$X$21=Q45),2,3),"")</f>
        <v>Transaction Received</v>
      </c>
      <c r="T45" s="637" t="str">
        <v>Transaction Placed</v>
      </c>
      <c r="U45" s="274">
        <f t="shared" si="8"/>
        <v>214657301.70426801</v>
      </c>
      <c r="V45" s="271"/>
    </row>
    <row r="46" spans="1:22" s="155" customFormat="1" ht="58" customHeight="1">
      <c r="A46" s="614" t="s">
        <v>187</v>
      </c>
      <c r="B46" s="925" t="s">
        <v>188</v>
      </c>
      <c r="C46" s="926"/>
      <c r="D46" s="903">
        <v>4151301.66</v>
      </c>
      <c r="E46" s="615">
        <v>-914996.43</v>
      </c>
      <c r="F46" s="615"/>
      <c r="G46" s="615">
        <f t="shared" si="11"/>
        <v>-207565.08300000001</v>
      </c>
      <c r="H46" s="615">
        <f t="shared" si="5"/>
        <v>-137249.4645</v>
      </c>
      <c r="I46" s="616">
        <f t="shared" si="0"/>
        <v>622695.24899999995</v>
      </c>
      <c r="J46" s="617">
        <f t="shared" si="6"/>
        <v>3514185.9314999999</v>
      </c>
      <c r="K46" s="656">
        <f>IF(Q46="Received",J46,"")</f>
        <v>3514185.9314999999</v>
      </c>
      <c r="L46" s="656"/>
      <c r="M46" s="896"/>
      <c r="N46" s="896"/>
      <c r="O46" s="895"/>
      <c r="P46" s="642" t="s">
        <v>189</v>
      </c>
      <c r="Q46" s="622" t="s">
        <v>94</v>
      </c>
      <c r="R46" s="623"/>
      <c r="S46" s="624" t="str">
        <f t="array" ref="S46:T46">IFERROR(_xlfn.CHOOSECOLS(_xlfn._xlws.FILTER($X$17:$Z$21,$X$17:$X$21=Q46),2,3),"")</f>
        <v>Transaction Received</v>
      </c>
      <c r="T46" s="637" t="str">
        <v>Transaction Placed</v>
      </c>
      <c r="U46" s="274">
        <f t="shared" si="8"/>
        <v>218808603.364268</v>
      </c>
      <c r="V46" s="271"/>
    </row>
    <row r="47" spans="1:22" s="155" customFormat="1" ht="73" customHeight="1">
      <c r="A47" s="626" t="s">
        <v>190</v>
      </c>
      <c r="B47" s="927" t="s">
        <v>191</v>
      </c>
      <c r="C47" s="928"/>
      <c r="D47" s="904">
        <v>2513487.3961303001</v>
      </c>
      <c r="E47" s="627"/>
      <c r="F47" s="627">
        <v>-1054256.25</v>
      </c>
      <c r="G47" s="627">
        <f t="shared" si="11"/>
        <v>-125674.36980651501</v>
      </c>
      <c r="H47" s="627">
        <f t="shared" si="5"/>
        <v>0</v>
      </c>
      <c r="I47" s="628">
        <f>(D47+F47)*0.15</f>
        <v>218884.67191954501</v>
      </c>
      <c r="J47" s="629">
        <f t="shared" si="6"/>
        <v>1552441.44824333</v>
      </c>
      <c r="K47" s="899"/>
      <c r="L47" s="899"/>
      <c r="M47" s="898">
        <v>46186</v>
      </c>
      <c r="N47" s="898"/>
      <c r="O47" s="897"/>
      <c r="P47" s="894" t="s">
        <v>192</v>
      </c>
      <c r="Q47" s="643" t="s">
        <v>92</v>
      </c>
      <c r="R47" s="634"/>
      <c r="S47" s="635" t="str">
        <f t="array" ref="S47:T47">IFERROR(_xlfn.CHOOSECOLS(_xlfn._xlws.FILTER($X$17:$Z$21,$X$17:$X$21=Q47),2,3),"")</f>
        <v>Submitted Tax  Invoice via Acconex Waiting For the
Transaction</v>
      </c>
      <c r="T47" s="638" t="str">
        <v xml:space="preserve">To place the payment </v>
      </c>
      <c r="U47" s="274">
        <f t="shared" si="8"/>
        <v>221322090.7603983</v>
      </c>
      <c r="V47" s="271"/>
    </row>
    <row r="48" spans="1:22" s="155" customFormat="1" ht="73" customHeight="1">
      <c r="A48" s="887" t="s">
        <v>193</v>
      </c>
      <c r="B48" s="925" t="s">
        <v>194</v>
      </c>
      <c r="C48" s="926"/>
      <c r="D48" s="906">
        <v>724965.66</v>
      </c>
      <c r="E48" s="889"/>
      <c r="F48" s="889"/>
      <c r="G48" s="889">
        <f t="shared" ref="G48" si="12">-D48*5%</f>
        <v>-36248.283000000003</v>
      </c>
      <c r="H48" s="889">
        <f t="shared" ref="H48" si="13">E48*0.15</f>
        <v>0</v>
      </c>
      <c r="I48" s="892">
        <f t="shared" ref="I48" si="14">D48*0.15</f>
        <v>108744.849</v>
      </c>
      <c r="J48" s="893">
        <f t="shared" si="6"/>
        <v>797462.22600000002</v>
      </c>
      <c r="K48" s="899"/>
      <c r="L48" s="899"/>
      <c r="M48" s="898"/>
      <c r="N48" s="898"/>
      <c r="O48" s="897"/>
      <c r="P48" s="894" t="s">
        <v>195</v>
      </c>
      <c r="Q48" s="643" t="s">
        <v>92</v>
      </c>
      <c r="R48" s="634"/>
      <c r="S48" s="635" t="str">
        <f t="array" ref="S48:T48">IFERROR(_xlfn.CHOOSECOLS(_xlfn._xlws.FILTER($X$17:$Z$21,$X$17:$X$21=Q48),2,3),"")</f>
        <v>Submitted Tax  Invoice via Acconex Waiting For the
Transaction</v>
      </c>
      <c r="T48" s="638" t="str">
        <v xml:space="preserve">To place the payment </v>
      </c>
      <c r="U48" s="274">
        <f t="shared" si="8"/>
        <v>222047056.42039829</v>
      </c>
      <c r="V48" s="271"/>
    </row>
    <row r="49" spans="1:22" s="155" customFormat="1" ht="73" customHeight="1">
      <c r="A49" s="884" t="s">
        <v>193</v>
      </c>
      <c r="B49" s="927" t="s">
        <v>196</v>
      </c>
      <c r="C49" s="928"/>
      <c r="D49" s="905">
        <v>2696379.5977641498</v>
      </c>
      <c r="E49" s="886"/>
      <c r="F49" s="886"/>
      <c r="G49" s="886">
        <f t="shared" ref="G49" si="15">-D49*5%</f>
        <v>-134818.97988820748</v>
      </c>
      <c r="H49" s="886">
        <f t="shared" ref="H49" si="16">E49*0.15</f>
        <v>0</v>
      </c>
      <c r="I49" s="890">
        <f t="shared" ref="I49" si="17">D49*0.15</f>
        <v>404456.93966462248</v>
      </c>
      <c r="J49" s="891">
        <f t="shared" ref="J49" si="18">SUM(D49:I49)</f>
        <v>2966017.5575405648</v>
      </c>
      <c r="K49" s="933"/>
      <c r="L49" s="934"/>
      <c r="M49" s="888"/>
      <c r="N49" s="889"/>
      <c r="O49" s="889"/>
      <c r="P49" s="889" t="s">
        <v>197</v>
      </c>
      <c r="Q49" s="889" t="s">
        <v>89</v>
      </c>
      <c r="R49" s="892"/>
      <c r="S49" s="656" t="str">
        <f t="array" ref="S49:T49">IFERROR(_xlfn.CHOOSECOLS(_xlfn._xlws.FILTER($X$17:$Z$21,$X$17:$X$21=Q49),2,3),"")</f>
        <v>Sent officially via mail/ Waiting for the Redsea assesment to Submit officially on Acconex</v>
      </c>
      <c r="T49" s="638" t="str">
        <v>Under Assesment</v>
      </c>
      <c r="U49" s="274">
        <f t="shared" si="8"/>
        <v>224743436.01816246</v>
      </c>
      <c r="V49" s="271"/>
    </row>
    <row r="50" spans="1:22" s="155" customFormat="1" ht="10" customHeight="1" thickBot="1">
      <c r="A50" s="644"/>
      <c r="B50" s="645"/>
      <c r="C50" s="646"/>
      <c r="D50" s="647"/>
      <c r="E50" s="648"/>
      <c r="F50" s="648"/>
      <c r="G50" s="648"/>
      <c r="H50" s="648"/>
      <c r="I50" s="649"/>
      <c r="J50" s="884"/>
      <c r="K50" s="935"/>
      <c r="L50" s="936"/>
      <c r="M50" s="885"/>
      <c r="N50" s="886"/>
      <c r="O50" s="886"/>
      <c r="P50" s="886"/>
      <c r="Q50" s="886"/>
      <c r="R50" s="890"/>
      <c r="S50" s="891"/>
      <c r="T50" s="650"/>
      <c r="U50" s="274"/>
      <c r="V50" s="271"/>
    </row>
    <row r="51" spans="1:22" s="156" customFormat="1" ht="66" customHeight="1" thickTop="1" thickBot="1">
      <c r="A51" s="929" t="s">
        <v>198</v>
      </c>
      <c r="B51" s="930"/>
      <c r="C51" s="930"/>
      <c r="D51" s="651">
        <f t="shared" ref="D51:J51" si="19">SUM(D19:D48)</f>
        <v>222047056.42039829</v>
      </c>
      <c r="E51" s="652">
        <f t="shared" si="19"/>
        <v>-65250466.802618816</v>
      </c>
      <c r="F51" s="652">
        <f t="shared" si="19"/>
        <v>-1054256.25</v>
      </c>
      <c r="G51" s="652">
        <f t="shared" si="19"/>
        <v>-11102352.801309438</v>
      </c>
      <c r="H51" s="652">
        <f t="shared" si="19"/>
        <v>-9787570.0203928221</v>
      </c>
      <c r="I51" s="653">
        <f t="shared" si="19"/>
        <v>33148920.025559753</v>
      </c>
      <c r="J51" s="654">
        <f t="shared" si="19"/>
        <v>168001330.571637</v>
      </c>
      <c r="K51" s="655">
        <f>SUM(K17:K41)</f>
        <v>197135161.50036415</v>
      </c>
      <c r="L51" s="655">
        <f>SUM(L19:L41)</f>
        <v>0</v>
      </c>
      <c r="M51" s="931"/>
      <c r="N51" s="930"/>
      <c r="O51" s="930"/>
      <c r="P51" s="930"/>
      <c r="Q51" s="930"/>
      <c r="R51" s="930"/>
      <c r="S51" s="930"/>
      <c r="T51" s="932"/>
    </row>
    <row r="52" spans="1:22" ht="30" customHeight="1" thickTop="1">
      <c r="A52" s="277"/>
      <c r="B52" s="278"/>
      <c r="C52" s="278"/>
      <c r="D52" s="279" t="s">
        <v>199</v>
      </c>
      <c r="E52" s="280"/>
      <c r="F52" s="280"/>
      <c r="G52" s="280"/>
      <c r="H52" s="280"/>
      <c r="I52" s="277"/>
      <c r="J52" s="280"/>
      <c r="K52" s="280"/>
      <c r="L52" s="280"/>
      <c r="M52" s="281"/>
      <c r="N52" s="282"/>
      <c r="O52" s="283"/>
      <c r="P52" s="283"/>
      <c r="Q52" s="284"/>
      <c r="R52" s="277"/>
      <c r="S52" s="277"/>
      <c r="T52" s="285"/>
    </row>
    <row r="53" spans="1:22">
      <c r="A53" s="277"/>
      <c r="B53" s="278"/>
      <c r="C53" s="278"/>
      <c r="D53" s="279"/>
      <c r="E53" s="280"/>
      <c r="F53" s="280"/>
      <c r="G53" s="280"/>
      <c r="H53" s="280"/>
      <c r="I53" s="277"/>
      <c r="J53" s="280"/>
      <c r="K53" s="280"/>
      <c r="L53" s="280"/>
      <c r="M53" s="281"/>
      <c r="N53" s="282"/>
      <c r="O53" s="283"/>
      <c r="P53" s="283"/>
      <c r="Q53" s="284"/>
      <c r="R53" s="277"/>
      <c r="S53" s="277"/>
      <c r="T53" s="285"/>
    </row>
    <row r="54" spans="1:22" ht="70.25" hidden="1" customHeight="1">
      <c r="A54" s="286"/>
      <c r="B54" s="287"/>
      <c r="C54" s="287"/>
      <c r="D54" s="288">
        <v>59438240.812458597</v>
      </c>
      <c r="E54" s="289">
        <v>-14196127.714800799</v>
      </c>
      <c r="F54" s="290"/>
      <c r="G54" s="291">
        <v>2211569.4330685199</v>
      </c>
      <c r="H54" s="291">
        <f>E54*0.15</f>
        <v>-2129419.1572201196</v>
      </c>
      <c r="I54" s="292">
        <f>D54*0.15</f>
        <v>8915736.1218687892</v>
      </c>
      <c r="J54" s="293">
        <f>SUM(D54:I54)</f>
        <v>54239999.495374992</v>
      </c>
      <c r="K54" s="256"/>
      <c r="L54" s="294"/>
      <c r="M54" s="295"/>
      <c r="N54" s="261"/>
      <c r="O54" s="296"/>
      <c r="P54" s="296"/>
      <c r="Q54" s="297"/>
      <c r="R54" s="286"/>
      <c r="S54" s="286"/>
      <c r="T54" s="265"/>
    </row>
    <row r="55" spans="1:22" ht="33">
      <c r="A55" s="286"/>
      <c r="B55" s="287"/>
      <c r="C55" s="287"/>
      <c r="D55" s="298"/>
      <c r="E55" s="256"/>
      <c r="F55" s="846">
        <v>148847011.44</v>
      </c>
      <c r="G55" s="846">
        <v>-14352254.73</v>
      </c>
      <c r="H55" s="256"/>
      <c r="I55" s="286"/>
      <c r="J55" s="256"/>
      <c r="K55" s="256"/>
      <c r="L55" s="256"/>
      <c r="M55" s="295"/>
      <c r="N55" s="261"/>
      <c r="O55" s="296"/>
      <c r="P55" s="296"/>
      <c r="Q55" s="297"/>
      <c r="R55" s="286"/>
      <c r="S55" s="286"/>
      <c r="T55" s="265"/>
    </row>
    <row r="56" spans="1:22" ht="31.25" customHeight="1">
      <c r="A56" s="286"/>
      <c r="B56" s="287"/>
      <c r="C56" s="287"/>
      <c r="D56" s="298"/>
      <c r="E56" s="299"/>
      <c r="F56" s="845">
        <f>F55-D39</f>
        <v>143522547.32457289</v>
      </c>
      <c r="G56" s="300">
        <f>G55/2</f>
        <v>-7176127.3650000002</v>
      </c>
      <c r="H56" s="256"/>
      <c r="I56" s="286"/>
      <c r="J56" s="256"/>
      <c r="K56" s="256"/>
      <c r="L56" s="256"/>
      <c r="M56" s="295"/>
      <c r="N56" s="261"/>
      <c r="O56" s="296"/>
      <c r="P56" s="296"/>
      <c r="Q56" s="297"/>
      <c r="R56" s="286"/>
      <c r="S56" s="286"/>
      <c r="T56" s="265"/>
    </row>
    <row r="57" spans="1:22" ht="48.5" customHeight="1">
      <c r="A57" s="286"/>
      <c r="B57" s="301" t="s">
        <v>99</v>
      </c>
      <c r="C57" s="301"/>
      <c r="D57" s="302">
        <f t="array" ref="D57:D61">_xlfn.TOCOL(E51:I51,3)</f>
        <v>-65250466.802618816</v>
      </c>
      <c r="E57" s="303">
        <f>D51-D39</f>
        <v>216722592.30497119</v>
      </c>
      <c r="F57" s="845">
        <f>F56*0.1</f>
        <v>14352254.732457289</v>
      </c>
      <c r="G57" s="256">
        <v>-10285718.254474601</v>
      </c>
      <c r="H57" s="256"/>
      <c r="I57" s="299"/>
      <c r="J57" s="845">
        <f>J51+J18+J17</f>
        <v>233251797.40481639</v>
      </c>
      <c r="K57" s="256"/>
      <c r="L57" s="256" t="s">
        <v>76</v>
      </c>
      <c r="M57" s="304"/>
      <c r="N57" s="261">
        <f>N41+21</f>
        <v>46009</v>
      </c>
      <c r="O57" s="296"/>
      <c r="P57" s="296"/>
      <c r="Q57" s="297"/>
      <c r="R57" s="286"/>
      <c r="S57" s="286"/>
      <c r="T57" s="265"/>
    </row>
    <row r="58" spans="1:22" ht="48.5" customHeight="1">
      <c r="A58" s="286"/>
      <c r="B58" s="301" t="s">
        <v>101</v>
      </c>
      <c r="C58" s="301"/>
      <c r="D58" s="302">
        <v>-1054256.25</v>
      </c>
      <c r="E58" s="256"/>
      <c r="F58" s="847">
        <f>F57/2</f>
        <v>7176127.3662286447</v>
      </c>
      <c r="G58" s="256"/>
      <c r="H58" s="256"/>
      <c r="I58" s="286"/>
      <c r="J58" s="846">
        <f>J57-G51</f>
        <v>244354150.20612583</v>
      </c>
      <c r="K58" s="256"/>
      <c r="L58" s="256"/>
      <c r="M58" s="295"/>
      <c r="N58" s="261"/>
      <c r="O58" s="296"/>
      <c r="P58" s="296"/>
      <c r="Q58" s="297"/>
      <c r="R58" s="286"/>
      <c r="S58" s="286"/>
      <c r="T58" s="305"/>
    </row>
    <row r="59" spans="1:22" ht="48.5" customHeight="1">
      <c r="A59" s="286"/>
      <c r="B59" s="301" t="s">
        <v>102</v>
      </c>
      <c r="C59" s="301"/>
      <c r="D59" s="302">
        <v>-11102352.801309438</v>
      </c>
      <c r="E59" s="299"/>
      <c r="F59" s="845">
        <v>143522547.31999999</v>
      </c>
      <c r="G59" s="300">
        <f>F59*0.1</f>
        <v>14352254.732000001</v>
      </c>
      <c r="H59" s="256"/>
      <c r="I59" s="286"/>
      <c r="J59" s="845">
        <f>(J58/1.15*1)+(G51*0.15)</f>
        <v>210816516.82426083</v>
      </c>
      <c r="K59" s="256"/>
      <c r="L59" s="256"/>
      <c r="M59" s="295"/>
      <c r="N59" s="261"/>
      <c r="O59" s="296"/>
      <c r="P59" s="296"/>
      <c r="Q59" s="297"/>
      <c r="R59" s="286"/>
      <c r="S59" s="286"/>
      <c r="T59" s="265"/>
    </row>
    <row r="60" spans="1:22" s="157" customFormat="1" ht="48.5" customHeight="1">
      <c r="A60" s="286"/>
      <c r="B60" s="301" t="s">
        <v>103</v>
      </c>
      <c r="C60" s="301"/>
      <c r="D60" s="302">
        <v>-9787570.0203928221</v>
      </c>
      <c r="E60" s="299"/>
      <c r="F60" s="845">
        <f>(323953297.36-F59-5321464.12)*0.05</f>
        <v>8755464.296000002</v>
      </c>
      <c r="G60" s="300"/>
      <c r="H60" s="256"/>
      <c r="I60" s="286"/>
      <c r="J60" s="846">
        <v>1552441.44824333</v>
      </c>
      <c r="K60" s="256"/>
      <c r="L60" s="256"/>
      <c r="M60" s="295"/>
      <c r="N60" s="261"/>
      <c r="O60" s="296"/>
      <c r="P60" s="296"/>
      <c r="Q60" s="297"/>
      <c r="R60" s="286"/>
      <c r="S60" s="286"/>
      <c r="T60" s="265"/>
    </row>
    <row r="61" spans="1:22" s="157" customFormat="1" ht="72.5" customHeight="1">
      <c r="A61" s="286"/>
      <c r="B61" s="287"/>
      <c r="C61" s="287"/>
      <c r="D61" s="298">
        <v>33148920.025559753</v>
      </c>
      <c r="E61" s="299"/>
      <c r="F61" s="845"/>
      <c r="G61" s="300">
        <f>D5-D51</f>
        <v>10813847.58178246</v>
      </c>
      <c r="H61" s="256"/>
      <c r="I61" s="286"/>
      <c r="J61" s="846"/>
      <c r="K61" s="256"/>
      <c r="L61" s="256"/>
      <c r="M61" s="295"/>
      <c r="N61" s="261"/>
      <c r="O61" s="296"/>
      <c r="P61" s="296"/>
      <c r="Q61" s="297"/>
      <c r="R61" s="286"/>
      <c r="S61" s="286"/>
      <c r="T61" s="265"/>
    </row>
    <row r="62" spans="1:22" ht="72.5" customHeight="1">
      <c r="A62" s="286"/>
      <c r="B62" s="844"/>
      <c r="C62" s="844"/>
      <c r="D62" s="844">
        <f>D5+G51</f>
        <v>221758551.20087132</v>
      </c>
      <c r="E62" s="844"/>
      <c r="F62" s="844"/>
      <c r="G62" s="843"/>
      <c r="H62" s="256"/>
      <c r="I62" s="286"/>
      <c r="J62" s="256"/>
      <c r="K62" s="256"/>
      <c r="L62" s="256"/>
      <c r="M62" s="295"/>
      <c r="N62" s="261"/>
      <c r="O62" s="296"/>
      <c r="P62" s="296"/>
      <c r="Q62" s="297"/>
      <c r="R62" s="286"/>
      <c r="S62" s="286"/>
      <c r="T62" s="265"/>
    </row>
    <row r="63" spans="1:22" ht="72.5" customHeight="1">
      <c r="A63" s="286"/>
      <c r="B63" s="844"/>
      <c r="C63" s="844"/>
      <c r="D63" s="844"/>
      <c r="E63" s="844"/>
      <c r="F63" s="844"/>
      <c r="G63" s="843"/>
      <c r="H63" s="256"/>
      <c r="I63" s="286"/>
      <c r="J63" s="256"/>
      <c r="K63" s="256"/>
      <c r="L63" s="256"/>
      <c r="M63" s="295"/>
      <c r="N63" s="261"/>
      <c r="O63" s="296"/>
      <c r="P63" s="296"/>
      <c r="Q63" s="297"/>
      <c r="R63" s="286"/>
      <c r="S63" s="286"/>
      <c r="T63" s="265"/>
    </row>
    <row r="64" spans="1:22" ht="72.5" customHeight="1">
      <c r="A64" s="286"/>
      <c r="B64" s="844"/>
      <c r="C64" s="844"/>
      <c r="D64" s="844">
        <v>232953297.36299846</v>
      </c>
      <c r="E64" s="844"/>
      <c r="F64" s="844"/>
      <c r="G64" s="843"/>
      <c r="H64" s="256"/>
      <c r="I64" s="286"/>
      <c r="J64" s="256"/>
      <c r="K64" s="256"/>
      <c r="L64" s="256"/>
      <c r="M64" s="295"/>
      <c r="N64" s="261"/>
      <c r="O64" s="296"/>
      <c r="P64" s="296"/>
      <c r="Q64" s="297"/>
      <c r="R64" s="286"/>
      <c r="S64" s="286"/>
      <c r="T64" s="265"/>
    </row>
    <row r="65" spans="1:20" s="157" customFormat="1" ht="72.5" customHeight="1">
      <c r="A65" s="286"/>
      <c r="B65" s="844"/>
      <c r="C65" s="844"/>
      <c r="D65" s="844"/>
      <c r="E65" s="844"/>
      <c r="F65" s="844"/>
      <c r="G65" s="843"/>
      <c r="H65" s="256">
        <f>H58-H60</f>
        <v>0</v>
      </c>
      <c r="I65" s="306">
        <v>4347866.16</v>
      </c>
      <c r="J65" s="294"/>
      <c r="K65" s="256"/>
      <c r="L65" s="256"/>
      <c r="M65" s="295"/>
      <c r="N65" s="261"/>
      <c r="O65" s="296"/>
      <c r="P65" s="296"/>
      <c r="Q65" s="297"/>
      <c r="R65" s="286"/>
      <c r="S65" s="286"/>
      <c r="T65" s="265"/>
    </row>
    <row r="66" spans="1:20" ht="72.5" customHeight="1">
      <c r="B66" s="844"/>
      <c r="C66" s="844"/>
      <c r="D66" s="844"/>
      <c r="E66" s="844"/>
      <c r="F66" s="844"/>
      <c r="G66" s="844"/>
    </row>
    <row r="67" spans="1:20" ht="72.5" customHeight="1">
      <c r="B67" s="844"/>
      <c r="C67" s="844"/>
      <c r="D67" s="844"/>
      <c r="E67" s="844"/>
      <c r="F67" s="844"/>
      <c r="G67" s="844"/>
    </row>
    <row r="68" spans="1:20" ht="72.5" customHeight="1">
      <c r="B68" s="844"/>
      <c r="C68" s="844"/>
      <c r="D68" s="844"/>
      <c r="E68" s="844"/>
      <c r="F68" s="844"/>
      <c r="G68" s="844"/>
    </row>
    <row r="69" spans="1:20" ht="72.5" customHeight="1">
      <c r="B69" s="844"/>
      <c r="C69" s="844"/>
      <c r="D69" s="844"/>
      <c r="E69" s="844"/>
      <c r="F69" s="844"/>
      <c r="G69" s="844"/>
    </row>
    <row r="70" spans="1:20" ht="72.5" customHeight="1">
      <c r="B70" s="844"/>
      <c r="C70" s="844"/>
      <c r="D70" s="844"/>
      <c r="E70" s="844"/>
      <c r="F70" s="844"/>
      <c r="G70" s="844"/>
    </row>
    <row r="71" spans="1:20" ht="72.5" customHeight="1">
      <c r="B71" s="844"/>
      <c r="C71" s="844"/>
      <c r="D71" s="844"/>
      <c r="E71" s="844"/>
      <c r="F71" s="844"/>
      <c r="G71" s="844"/>
    </row>
    <row r="72" spans="1:20" ht="72.5" customHeight="1"/>
    <row r="73" spans="1:20" ht="72.5" customHeight="1"/>
    <row r="74" spans="1:20" ht="72.5" customHeight="1"/>
    <row r="75" spans="1:20" ht="72.5" customHeight="1"/>
    <row r="76" spans="1:20" ht="72.5" customHeight="1"/>
    <row r="77" spans="1:20" ht="72.5" customHeight="1"/>
    <row r="78" spans="1:20" ht="72.5" customHeight="1"/>
    <row r="79" spans="1:20" ht="72.5" customHeight="1"/>
    <row r="80" spans="1:20" ht="72.5" customHeight="1"/>
    <row r="81" ht="72.5" customHeight="1"/>
    <row r="82" ht="72.5" customHeight="1"/>
    <row r="83" ht="72.5" customHeight="1"/>
    <row r="84" ht="72.5" customHeight="1"/>
    <row r="85" ht="72.5" customHeight="1"/>
    <row r="86" ht="72.5" customHeight="1"/>
    <row r="87" ht="72.5" customHeight="1"/>
    <row r="88" ht="72.5" customHeight="1"/>
    <row r="89" ht="72.5" customHeight="1"/>
    <row r="90" ht="72.5" customHeight="1"/>
    <row r="91" ht="72.5" customHeight="1"/>
    <row r="92" ht="72.5" customHeight="1"/>
    <row r="93" ht="72.5" customHeight="1"/>
    <row r="94" ht="72.5" customHeight="1"/>
    <row r="95" ht="72.5" customHeight="1"/>
    <row r="96" ht="72.5" customHeight="1"/>
    <row r="97" ht="72.5" customHeight="1"/>
    <row r="98" ht="72.5" customHeight="1"/>
    <row r="99" ht="72.5" customHeight="1"/>
    <row r="100" ht="72.5" customHeight="1"/>
    <row r="101" ht="72.5" customHeight="1"/>
    <row r="102" ht="72.5" customHeight="1"/>
    <row r="103" ht="72.5" customHeight="1"/>
    <row r="104" ht="72.5" customHeight="1"/>
    <row r="105" ht="72.5" customHeight="1"/>
    <row r="106" ht="72.5" customHeight="1"/>
    <row r="107" ht="72.5" customHeight="1"/>
    <row r="108" ht="72.5" customHeight="1"/>
    <row r="109" ht="72.5" customHeight="1"/>
    <row r="110" ht="72.5" customHeight="1"/>
    <row r="111" ht="72.5" customHeight="1"/>
    <row r="112" ht="72.5" customHeight="1"/>
    <row r="113" ht="72.5" customHeight="1"/>
    <row r="114" ht="72.5" customHeight="1"/>
    <row r="115" ht="72.5" customHeight="1"/>
    <row r="116" ht="72.5" customHeight="1"/>
    <row r="117" ht="72.5" customHeight="1"/>
    <row r="118" ht="72.5" customHeight="1"/>
    <row r="119" ht="72.5" customHeight="1"/>
    <row r="120" ht="72.5" customHeight="1"/>
    <row r="121" ht="72.5" customHeight="1"/>
    <row r="122" ht="72.5" customHeight="1"/>
    <row r="123" ht="72.5" customHeight="1"/>
    <row r="124" ht="72.5" customHeight="1"/>
    <row r="125" ht="72.5" customHeight="1"/>
    <row r="126" ht="72.5" customHeight="1"/>
    <row r="127" ht="72.5" customHeight="1"/>
    <row r="128" ht="72.5" customHeight="1"/>
    <row r="129" ht="72.5" customHeight="1"/>
    <row r="130" ht="72.5" customHeight="1"/>
    <row r="131" ht="72.5" customHeight="1"/>
    <row r="132" ht="72.5" customHeight="1"/>
    <row r="133" ht="72.5" customHeight="1"/>
    <row r="134" ht="72.5" customHeight="1"/>
    <row r="135" ht="72.5" customHeight="1"/>
    <row r="136" ht="72.5" customHeight="1"/>
    <row r="137" ht="72.5" customHeight="1"/>
    <row r="138" ht="72.5" customHeight="1"/>
    <row r="139" ht="72.5" customHeight="1"/>
    <row r="140" ht="72.5" customHeight="1"/>
    <row r="141" ht="72.5" customHeight="1"/>
    <row r="142" ht="72.5" customHeight="1"/>
    <row r="143" ht="72.5" customHeight="1"/>
    <row r="144" ht="72.5" customHeight="1"/>
    <row r="145" ht="72.5" customHeight="1"/>
    <row r="146" ht="72.5" customHeight="1"/>
    <row r="147" ht="72.5" customHeight="1"/>
    <row r="148" ht="72.5" customHeight="1"/>
    <row r="149" ht="72.5" customHeight="1"/>
    <row r="150" ht="72.5" customHeight="1"/>
    <row r="151" ht="72.5" customHeight="1"/>
    <row r="152" ht="72.5" customHeight="1"/>
    <row r="153" ht="72.5" customHeight="1"/>
    <row r="154" ht="72.5" customHeight="1"/>
    <row r="155" ht="72.5" customHeight="1"/>
    <row r="156" ht="72.5" customHeight="1"/>
    <row r="157" ht="72.5" customHeight="1"/>
    <row r="158" ht="72.5" customHeight="1"/>
    <row r="159" ht="72.5" customHeight="1"/>
    <row r="160" ht="72.5" customHeight="1"/>
    <row r="161" ht="72.5" customHeight="1"/>
    <row r="162" ht="72.5" customHeight="1"/>
    <row r="163" ht="72.5" customHeight="1"/>
    <row r="164" ht="72.5" customHeight="1"/>
    <row r="165" ht="72.5" customHeight="1"/>
    <row r="166" ht="72.5" customHeight="1"/>
    <row r="167" ht="72.5" customHeight="1"/>
    <row r="168" ht="72.5" customHeight="1"/>
    <row r="169" ht="72.5" customHeight="1"/>
    <row r="170" ht="72.5" customHeight="1"/>
    <row r="171" ht="72.5" customHeight="1"/>
    <row r="172" ht="72.5" customHeight="1"/>
    <row r="173" ht="72.5" customHeight="1"/>
    <row r="174" ht="72.5" customHeight="1"/>
    <row r="175" ht="72.5" customHeight="1"/>
    <row r="176" ht="72.5" customHeight="1"/>
    <row r="177" ht="72.5" customHeight="1"/>
    <row r="178" ht="72.5" customHeight="1"/>
    <row r="179" ht="72.5" customHeight="1"/>
    <row r="180" ht="72.5" customHeight="1"/>
    <row r="181" ht="72.5" customHeight="1"/>
    <row r="182" ht="72.5" customHeight="1"/>
    <row r="183" ht="72.5" customHeight="1"/>
    <row r="184" ht="72.5" customHeight="1"/>
    <row r="185" ht="72.5" customHeight="1"/>
    <row r="186" ht="72.5" customHeight="1"/>
    <row r="187" ht="72.5" customHeight="1"/>
    <row r="188" ht="72.5" customHeight="1"/>
    <row r="189" ht="72.5" customHeight="1"/>
    <row r="190" ht="72.5" customHeight="1"/>
    <row r="191" ht="72.5" customHeight="1"/>
    <row r="192" ht="72.5" customHeight="1"/>
    <row r="193" ht="72.5" customHeight="1"/>
    <row r="194" ht="72.5" customHeight="1"/>
    <row r="195" ht="72.5" customHeight="1"/>
    <row r="196" ht="72.5" customHeight="1"/>
    <row r="197" ht="72.5" customHeight="1"/>
    <row r="198" ht="72.5" customHeight="1"/>
    <row r="199" ht="72.5" customHeight="1"/>
    <row r="200" ht="72.5" customHeight="1"/>
    <row r="201" ht="72.5" customHeight="1"/>
    <row r="202" ht="72.5" customHeight="1"/>
    <row r="203" ht="72.5" customHeight="1"/>
    <row r="204" ht="72.5" customHeight="1"/>
    <row r="205" ht="72.5" customHeight="1"/>
    <row r="206" ht="72.5" customHeight="1"/>
    <row r="207" ht="72.5" customHeight="1"/>
    <row r="208" ht="72.5" customHeight="1"/>
    <row r="209" ht="72.5" customHeight="1"/>
    <row r="210" ht="72.5" customHeight="1"/>
    <row r="211" ht="72.5" customHeight="1"/>
    <row r="212" ht="72.5" customHeight="1"/>
    <row r="213" ht="72.5" customHeight="1"/>
  </sheetData>
  <autoFilter ref="A16:BO52" xr:uid="{00000000-0009-0000-0000-000002000000}"/>
  <mergeCells count="59">
    <mergeCell ref="A3:B3"/>
    <mergeCell ref="C3:E3"/>
    <mergeCell ref="D4:E4"/>
    <mergeCell ref="D5:E5"/>
    <mergeCell ref="G8:I8"/>
    <mergeCell ref="B22:C22"/>
    <mergeCell ref="B23:C23"/>
    <mergeCell ref="B24:C24"/>
    <mergeCell ref="B25:C25"/>
    <mergeCell ref="B17:C17"/>
    <mergeCell ref="B18:C18"/>
    <mergeCell ref="B19:C19"/>
    <mergeCell ref="B20:C20"/>
    <mergeCell ref="B21:C21"/>
    <mergeCell ref="O15:O16"/>
    <mergeCell ref="P15:P16"/>
    <mergeCell ref="Q15:Q16"/>
    <mergeCell ref="R15:R16"/>
    <mergeCell ref="B15:C16"/>
    <mergeCell ref="M15:M16"/>
    <mergeCell ref="N15:N16"/>
    <mergeCell ref="H15:H16"/>
    <mergeCell ref="I15:I16"/>
    <mergeCell ref="J15:J16"/>
    <mergeCell ref="K15:K16"/>
    <mergeCell ref="L15:L16"/>
    <mergeCell ref="B44:C44"/>
    <mergeCell ref="B45:C45"/>
    <mergeCell ref="B36:C36"/>
    <mergeCell ref="B37:C37"/>
    <mergeCell ref="B38:C38"/>
    <mergeCell ref="B39:C39"/>
    <mergeCell ref="B40:C40"/>
    <mergeCell ref="B41:C41"/>
    <mergeCell ref="B42:C42"/>
    <mergeCell ref="B43:C43"/>
    <mergeCell ref="B31:C31"/>
    <mergeCell ref="B32:C32"/>
    <mergeCell ref="B33:C33"/>
    <mergeCell ref="B34:C34"/>
    <mergeCell ref="B35:C35"/>
    <mergeCell ref="B26:C26"/>
    <mergeCell ref="B27:C27"/>
    <mergeCell ref="B28:C28"/>
    <mergeCell ref="B29:C29"/>
    <mergeCell ref="B30:C30"/>
    <mergeCell ref="A15:A16"/>
    <mergeCell ref="D15:D16"/>
    <mergeCell ref="E15:E16"/>
    <mergeCell ref="F15:F16"/>
    <mergeCell ref="G15:G16"/>
    <mergeCell ref="B48:C48"/>
    <mergeCell ref="B46:C46"/>
    <mergeCell ref="B47:C47"/>
    <mergeCell ref="A51:C51"/>
    <mergeCell ref="M51:T51"/>
    <mergeCell ref="B49:C49"/>
    <mergeCell ref="K49:L49"/>
    <mergeCell ref="K50:L50"/>
  </mergeCells>
  <conditionalFormatting sqref="B17:B50">
    <cfRule type="expression" dxfId="18" priority="12">
      <formula>"IF($O$32=“Approved”"</formula>
    </cfRule>
  </conditionalFormatting>
  <conditionalFormatting sqref="E7:E8 F8:F9">
    <cfRule type="dataBar" priority="46">
      <dataBar>
        <cfvo type="num" val="0"/>
        <cfvo type="num" val="1"/>
        <color rgb="FF92D050"/>
      </dataBar>
    </cfRule>
  </conditionalFormatting>
  <conditionalFormatting sqref="E9 F10">
    <cfRule type="dataBar" priority="45">
      <dataBar>
        <cfvo type="num" val="0"/>
        <cfvo type="num" val="1"/>
        <color rgb="FF00B050"/>
      </dataBar>
    </cfRule>
  </conditionalFormatting>
  <conditionalFormatting sqref="E10 F11">
    <cfRule type="dataBar" priority="13">
      <dataBar>
        <cfvo type="num" val="0"/>
        <cfvo type="num" val="1"/>
        <color theme="5"/>
      </dataBar>
    </cfRule>
  </conditionalFormatting>
  <conditionalFormatting sqref="E12 F6">
    <cfRule type="dataBar" priority="47">
      <dataBar>
        <cfvo type="num" val="0"/>
        <cfvo type="num" val="1"/>
        <color theme="8" tint="-0.249977111117893"/>
      </dataBar>
    </cfRule>
  </conditionalFormatting>
  <conditionalFormatting sqref="E13">
    <cfRule type="dataBar" priority="8">
      <dataBar>
        <cfvo type="num" val="0"/>
        <cfvo type="num" val="1"/>
        <color theme="9"/>
      </dataBar>
    </cfRule>
  </conditionalFormatting>
  <conditionalFormatting sqref="I5">
    <cfRule type="dataBar" priority="42">
      <dataBar>
        <cfvo type="num" val="0"/>
        <cfvo type="num" val="1"/>
        <color rgb="FF016D74"/>
      </dataBar>
    </cfRule>
  </conditionalFormatting>
  <conditionalFormatting sqref="I6 I11 J12:J14">
    <cfRule type="dataBar" priority="44">
      <dataBar>
        <cfvo type="num" val="0"/>
        <cfvo type="num" val="1"/>
        <color rgb="FFFF0000"/>
      </dataBar>
    </cfRule>
  </conditionalFormatting>
  <conditionalFormatting sqref="I10">
    <cfRule type="dataBar" priority="6">
      <dataBar>
        <cfvo type="num" val="0"/>
        <cfvo type="num" val="1"/>
        <color rgb="FF016D74"/>
      </dataBar>
    </cfRule>
  </conditionalFormatting>
  <conditionalFormatting sqref="K49:K50">
    <cfRule type="expression" dxfId="17" priority="1">
      <formula>"IF($O$32=“Approved”"</formula>
    </cfRule>
  </conditionalFormatting>
  <conditionalFormatting sqref="P17:P48">
    <cfRule type="containsText" dxfId="16" priority="2" operator="containsText" text="Over">
      <formula>NOT(ISERROR(SEARCH("Over",P17)))</formula>
    </cfRule>
    <cfRule type="beginsWith" dxfId="15" priority="3" operator="beginsWith" text="due">
      <formula>LEFT(P17,LEN("due"))="due"</formula>
    </cfRule>
    <cfRule type="containsText" dxfId="14" priority="4" stopIfTrue="1" operator="containsText" text="paid">
      <formula>NOT(ISERROR(SEARCH("paid",P17)))</formula>
    </cfRule>
  </conditionalFormatting>
  <conditionalFormatting sqref="X19:X21">
    <cfRule type="expression" dxfId="13" priority="35">
      <formula>"IF($O$32=“Approved”"</formula>
    </cfRule>
  </conditionalFormatting>
  <conditionalFormatting sqref="Y19:Z20">
    <cfRule type="expression" dxfId="12" priority="36">
      <formula>"IF($O$32=“Approved”"</formula>
    </cfRule>
  </conditionalFormatting>
  <dataValidations count="1">
    <dataValidation type="list" allowBlank="1" showInputMessage="1" showErrorMessage="1" sqref="X19:X21 Q17:Q50" xr:uid="{00000000-0002-0000-0200-000000000000}">
      <formula1>"Under Review,Submitted on ACONEX,Approved via Acconex,Received"</formula1>
    </dataValidation>
  </dataValidations>
  <printOptions horizontalCentered="1"/>
  <pageMargins left="0.25" right="0.25" top="0.5" bottom="0.25" header="0.2" footer="0.25"/>
  <pageSetup paperSize="8" scale="29" orientation="landscape"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A156"/>
  <sheetViews>
    <sheetView tabSelected="1" view="pageBreakPreview" topLeftCell="A76" zoomScale="44" zoomScaleNormal="100" zoomScaleSheetLayoutView="40" workbookViewId="0">
      <selection activeCell="F61" sqref="F61"/>
    </sheetView>
  </sheetViews>
  <sheetFormatPr baseColWidth="10" defaultColWidth="8.5" defaultRowHeight="16.5" customHeight="1" outlineLevelCol="1"/>
  <cols>
    <col min="1" max="1" width="8.5" style="544"/>
    <col min="2" max="2" width="16.1640625" style="568" customWidth="1"/>
    <col min="3" max="3" width="24.5" style="568" customWidth="1"/>
    <col min="4" max="4" width="30.5" style="569" customWidth="1"/>
    <col min="5" max="5" width="1.5" style="568" hidden="1" customWidth="1"/>
    <col min="6" max="6" width="245.5" style="548" customWidth="1"/>
    <col min="7" max="7" width="31.5" style="570" hidden="1" customWidth="1"/>
    <col min="8" max="8" width="32.5" style="545" hidden="1" customWidth="1"/>
    <col min="9" max="9" width="3.5" style="571" hidden="1" customWidth="1"/>
    <col min="10" max="10" width="4.5" style="545" hidden="1" customWidth="1"/>
    <col min="11" max="11" width="40.5" style="572" hidden="1" customWidth="1"/>
    <col min="12" max="12" width="34.6640625" style="547" customWidth="1"/>
    <col min="13" max="13" width="35.5" style="547" customWidth="1"/>
    <col min="14" max="14" width="36.33203125" style="547" customWidth="1"/>
    <col min="15" max="15" width="36.5" style="545" customWidth="1"/>
    <col min="16" max="16" width="55.5" style="545" hidden="1" customWidth="1" outlineLevel="1"/>
    <col min="17" max="17" width="56.5" style="545" hidden="1" customWidth="1" outlineLevel="1"/>
    <col min="18" max="18" width="219" style="870" customWidth="1" collapsed="1"/>
    <col min="19" max="19" width="86" style="545" hidden="1" customWidth="1"/>
    <col min="20" max="20" width="8.1640625" style="545" customWidth="1"/>
    <col min="21" max="23" width="41.5" style="546" customWidth="1"/>
    <col min="24" max="24" width="57" style="545" customWidth="1"/>
    <col min="25" max="25" width="37.5" style="545" customWidth="1"/>
    <col min="26" max="26" width="22.5" style="544" customWidth="1"/>
    <col min="27" max="27" width="41.5" style="545" customWidth="1"/>
    <col min="28" max="31" width="8.5" style="544" customWidth="1"/>
    <col min="32" max="16384" width="8.5" style="544"/>
  </cols>
  <sheetData>
    <row r="1" spans="2:27" s="538" customFormat="1" ht="35" customHeight="1">
      <c r="B1" s="916">
        <f ca="1">TODAY()</f>
        <v>46232</v>
      </c>
      <c r="C1" s="916"/>
      <c r="D1" s="916"/>
      <c r="E1" s="916"/>
      <c r="F1" s="917"/>
      <c r="G1" s="528"/>
      <c r="H1" s="529"/>
      <c r="I1" s="530"/>
      <c r="J1" s="531"/>
      <c r="K1" s="532"/>
      <c r="L1" s="533"/>
      <c r="M1" s="533"/>
      <c r="N1" s="533"/>
      <c r="O1" s="534"/>
      <c r="P1" s="535"/>
      <c r="Q1" s="527"/>
      <c r="R1" s="527"/>
      <c r="S1" s="536"/>
      <c r="T1" s="536"/>
      <c r="U1" s="537"/>
      <c r="V1" s="537"/>
      <c r="W1" s="537"/>
      <c r="X1" s="527"/>
      <c r="Y1" s="527"/>
      <c r="Z1" s="536"/>
    </row>
    <row r="2" spans="2:27" ht="19.25" customHeight="1">
      <c r="B2" s="534"/>
      <c r="C2" s="534"/>
      <c r="D2" s="539"/>
      <c r="E2" s="534"/>
      <c r="F2" s="540"/>
      <c r="G2" s="541"/>
      <c r="H2" s="531"/>
      <c r="I2" s="530"/>
      <c r="J2" s="531"/>
      <c r="K2" s="532"/>
      <c r="L2" s="542"/>
      <c r="M2" s="542"/>
      <c r="N2" s="542"/>
      <c r="O2" s="531"/>
      <c r="P2" s="531"/>
      <c r="Q2" s="531"/>
      <c r="R2" s="854"/>
      <c r="S2" s="531"/>
      <c r="T2" s="531"/>
      <c r="U2" s="543"/>
      <c r="V2" s="543"/>
      <c r="W2" s="543"/>
      <c r="X2" s="540"/>
      <c r="Y2" s="540"/>
      <c r="Z2" s="531"/>
      <c r="AA2" s="544"/>
    </row>
    <row r="3" spans="2:27" ht="60" customHeight="1">
      <c r="B3" s="534"/>
      <c r="C3" s="534"/>
      <c r="D3" s="539"/>
      <c r="E3" s="534"/>
      <c r="F3" s="540"/>
      <c r="G3" s="541"/>
      <c r="H3" s="531"/>
      <c r="I3" s="530"/>
      <c r="J3" s="534"/>
      <c r="K3" s="532"/>
      <c r="L3" s="920" t="s">
        <v>200</v>
      </c>
      <c r="M3" s="920"/>
      <c r="N3" s="922">
        <f>217501556.115897+Sheet1!E5+Sheet1!E4+Sheet1!E6</f>
        <v>232860904.00218076</v>
      </c>
      <c r="O3" s="922"/>
      <c r="R3" s="854"/>
      <c r="S3" s="531"/>
      <c r="T3" s="531"/>
      <c r="U3" s="543"/>
      <c r="W3" s="543"/>
      <c r="X3" s="540"/>
      <c r="Y3" s="540"/>
      <c r="Z3" s="531"/>
      <c r="AA3" s="544"/>
    </row>
    <row r="4" spans="2:27" ht="37" customHeight="1" thickBot="1">
      <c r="B4" s="534"/>
      <c r="C4" s="534"/>
      <c r="D4" s="539"/>
      <c r="E4" s="534"/>
      <c r="F4" s="913" t="s">
        <v>58</v>
      </c>
      <c r="G4" s="915"/>
      <c r="H4" s="915"/>
      <c r="I4" s="915"/>
      <c r="J4" s="915"/>
      <c r="K4" s="532"/>
      <c r="L4" s="921"/>
      <c r="M4" s="921"/>
      <c r="N4" s="922"/>
      <c r="O4" s="922"/>
      <c r="R4" s="854"/>
      <c r="S4" s="531"/>
      <c r="T4" s="531"/>
      <c r="U4" s="543"/>
      <c r="V4" s="543"/>
      <c r="W4" s="543"/>
      <c r="X4" s="540"/>
      <c r="Y4" s="540"/>
      <c r="Z4" s="531"/>
      <c r="AA4" s="544"/>
    </row>
    <row r="5" spans="2:27" ht="37" customHeight="1">
      <c r="B5" s="534"/>
      <c r="C5" s="534"/>
      <c r="D5" s="539"/>
      <c r="E5" s="534"/>
      <c r="F5" s="914"/>
      <c r="G5" s="915"/>
      <c r="H5" s="915"/>
      <c r="I5" s="915"/>
      <c r="J5" s="915"/>
      <c r="K5" s="532"/>
      <c r="R5" s="854"/>
      <c r="S5" s="531"/>
      <c r="T5" s="531"/>
      <c r="U5" s="543"/>
      <c r="V5" s="543"/>
      <c r="W5" s="543"/>
      <c r="X5" s="918">
        <f>G4-N19</f>
        <v>-519455.46318518498</v>
      </c>
      <c r="Y5" s="919"/>
      <c r="Z5" s="531"/>
      <c r="AA5" s="544"/>
    </row>
    <row r="6" spans="2:27" ht="60" customHeight="1">
      <c r="B6" s="534"/>
      <c r="C6" s="534"/>
      <c r="D6" s="539"/>
      <c r="E6" s="534"/>
      <c r="G6" s="549"/>
      <c r="H6" s="540"/>
      <c r="I6" s="530"/>
      <c r="J6" s="531"/>
      <c r="K6" s="532"/>
      <c r="R6" s="854"/>
      <c r="S6" s="531"/>
      <c r="T6" s="531"/>
      <c r="U6" s="543"/>
      <c r="V6" s="543"/>
      <c r="W6" s="543"/>
      <c r="X6" s="550"/>
      <c r="Y6" s="550">
        <v>231437159.38</v>
      </c>
      <c r="Z6" s="531"/>
      <c r="AA6" s="544"/>
    </row>
    <row r="7" spans="2:27" ht="60" customHeight="1">
      <c r="B7" s="534"/>
      <c r="C7" s="534"/>
      <c r="D7" s="539"/>
      <c r="E7" s="534"/>
      <c r="F7" s="551"/>
      <c r="G7" s="528"/>
      <c r="H7" s="531"/>
      <c r="I7" s="530"/>
      <c r="J7" s="534"/>
      <c r="K7" s="532"/>
      <c r="R7" s="854"/>
      <c r="S7" s="531"/>
      <c r="T7" s="531"/>
      <c r="U7" s="543"/>
      <c r="V7" s="543"/>
      <c r="W7" s="543"/>
      <c r="X7" s="550"/>
      <c r="Y7" s="552">
        <f>Y6-X5</f>
        <v>231956614.84318519</v>
      </c>
      <c r="Z7" s="531"/>
      <c r="AA7" s="544"/>
    </row>
    <row r="8" spans="2:27" ht="50.25" hidden="1" customHeight="1">
      <c r="B8" s="534"/>
      <c r="C8" s="534"/>
      <c r="D8" s="539"/>
      <c r="E8" s="534"/>
      <c r="F8" s="551"/>
      <c r="G8" s="541"/>
      <c r="H8" s="531"/>
      <c r="I8" s="530"/>
      <c r="J8" s="534"/>
      <c r="K8" s="532"/>
      <c r="R8" s="854"/>
      <c r="S8" s="531"/>
      <c r="T8" s="531"/>
      <c r="U8" s="543"/>
      <c r="V8" s="543"/>
      <c r="W8" s="543"/>
      <c r="X8" s="540"/>
      <c r="Y8" s="553"/>
      <c r="Z8" s="531"/>
      <c r="AA8" s="544"/>
    </row>
    <row r="9" spans="2:27" ht="58.25" customHeight="1">
      <c r="B9" s="534"/>
      <c r="C9" s="534"/>
      <c r="D9" s="539"/>
      <c r="E9" s="534"/>
      <c r="F9" s="540"/>
      <c r="G9" s="554"/>
      <c r="H9" s="555"/>
      <c r="I9" s="530"/>
      <c r="J9" s="534"/>
      <c r="K9" s="532"/>
      <c r="R9" s="854"/>
      <c r="S9" s="531"/>
      <c r="T9" s="531"/>
      <c r="U9" s="543"/>
      <c r="V9" s="543"/>
      <c r="W9" s="543"/>
      <c r="X9" s="540"/>
      <c r="Y9" s="540"/>
      <c r="Z9" s="531"/>
      <c r="AA9" s="544"/>
    </row>
    <row r="10" spans="2:27" s="880" customFormat="1" ht="84.75" customHeight="1">
      <c r="B10" s="871" t="s">
        <v>201</v>
      </c>
      <c r="C10" s="871" t="s">
        <v>202</v>
      </c>
      <c r="D10" s="872" t="s">
        <v>203</v>
      </c>
      <c r="E10" s="871" t="s">
        <v>204</v>
      </c>
      <c r="F10" s="871" t="s">
        <v>205</v>
      </c>
      <c r="G10" s="873" t="s">
        <v>206</v>
      </c>
      <c r="H10" s="871" t="s">
        <v>207</v>
      </c>
      <c r="I10" s="871" t="s">
        <v>208</v>
      </c>
      <c r="J10" s="871" t="s">
        <v>209</v>
      </c>
      <c r="K10" s="873" t="s">
        <v>210</v>
      </c>
      <c r="L10" s="874" t="s">
        <v>211</v>
      </c>
      <c r="M10" s="874" t="s">
        <v>212</v>
      </c>
      <c r="N10" s="874" t="s">
        <v>213</v>
      </c>
      <c r="O10" s="871" t="s">
        <v>111</v>
      </c>
      <c r="P10" s="871" t="s">
        <v>214</v>
      </c>
      <c r="Q10" s="871" t="s">
        <v>215</v>
      </c>
      <c r="R10" s="875" t="s">
        <v>216</v>
      </c>
      <c r="S10" s="875" t="s">
        <v>217</v>
      </c>
      <c r="T10" s="875"/>
      <c r="U10" s="876" t="s">
        <v>218</v>
      </c>
      <c r="V10" s="876" t="s">
        <v>219</v>
      </c>
      <c r="W10" s="877"/>
      <c r="X10" s="878" t="s">
        <v>111</v>
      </c>
      <c r="Y10" s="878"/>
      <c r="Z10" s="879" t="s">
        <v>220</v>
      </c>
    </row>
    <row r="11" spans="2:27" s="671" customFormat="1" ht="69" customHeight="1">
      <c r="B11" s="657">
        <v>1</v>
      </c>
      <c r="C11" s="658" t="str">
        <f t="shared" ref="C11:C45" si="0">LEFT(IFERROR("VO-"&amp;_xlfn.TEXTAFTER(P11,"-00"),""),5)</f>
        <v>VO-02</v>
      </c>
      <c r="D11" s="659">
        <v>45502</v>
      </c>
      <c r="E11" s="658" t="s">
        <v>221</v>
      </c>
      <c r="F11" s="829" t="s">
        <v>222</v>
      </c>
      <c r="G11" s="660">
        <v>45510</v>
      </c>
      <c r="H11" s="658" t="s">
        <v>223</v>
      </c>
      <c r="I11" s="661" t="s">
        <v>224</v>
      </c>
      <c r="J11" s="661" t="s">
        <v>224</v>
      </c>
      <c r="K11" s="662"/>
      <c r="L11" s="663"/>
      <c r="M11" s="663"/>
      <c r="N11" s="664">
        <v>-436711.90788750001</v>
      </c>
      <c r="O11" s="848" t="s">
        <v>225</v>
      </c>
      <c r="P11" s="665" t="s">
        <v>226</v>
      </c>
      <c r="Q11" s="665" t="s">
        <v>227</v>
      </c>
      <c r="R11" s="855" t="s">
        <v>228</v>
      </c>
      <c r="S11" s="666" t="s">
        <v>229</v>
      </c>
      <c r="T11" s="666"/>
      <c r="U11" s="667" t="str">
        <f>HYPERLINK("https://ksa1.aconex.com/MiniURL?type=MAILSEARCH&amp;mailbox=5&amp;pid=1342178882&amp;cid=1377669720","Open in Aconex")</f>
        <v>Open in Aconex</v>
      </c>
      <c r="V11" s="667" t="str">
        <f>HYPERLINK("https://ksa1.aconex.com/MiniURL?type=MAILSEARCH&amp;mailbox=5&amp;pid=1342178882&amp;cid=1378119163","View Submission")</f>
        <v>View Submission</v>
      </c>
      <c r="W11" s="668"/>
      <c r="X11" s="669"/>
      <c r="Y11" s="669"/>
      <c r="Z11" s="670" t="s">
        <v>230</v>
      </c>
    </row>
    <row r="12" spans="2:27" s="671" customFormat="1" ht="69" customHeight="1">
      <c r="B12" s="672">
        <f t="shared" ref="B12:B44" si="1">B11+1</f>
        <v>2</v>
      </c>
      <c r="C12" s="673" t="str">
        <f t="shared" si="0"/>
        <v>VO-01</v>
      </c>
      <c r="D12" s="674">
        <v>45424</v>
      </c>
      <c r="E12" s="673" t="s">
        <v>231</v>
      </c>
      <c r="F12" s="830" t="s">
        <v>232</v>
      </c>
      <c r="G12" s="675">
        <v>45452</v>
      </c>
      <c r="H12" s="673" t="s">
        <v>223</v>
      </c>
      <c r="I12" s="676" t="s">
        <v>233</v>
      </c>
      <c r="J12" s="677" t="s">
        <v>233</v>
      </c>
      <c r="K12" s="678"/>
      <c r="L12" s="679"/>
      <c r="M12" s="679"/>
      <c r="N12" s="680">
        <v>-1050000</v>
      </c>
      <c r="O12" s="848" t="s">
        <v>225</v>
      </c>
      <c r="P12" s="681" t="s">
        <v>234</v>
      </c>
      <c r="Q12" s="681" t="s">
        <v>235</v>
      </c>
      <c r="R12" s="856" t="s">
        <v>228</v>
      </c>
      <c r="S12" s="682" t="s">
        <v>229</v>
      </c>
      <c r="T12" s="682"/>
      <c r="U12" s="683" t="str">
        <f>HYPERLINK("https://ksa1.aconex.com/MiniURL?type=MAILSEARCH&amp;mailbox=5&amp;pid=1342178882&amp;cid=1374145720","Open in Aconex")</f>
        <v>Open in Aconex</v>
      </c>
      <c r="V12" s="683" t="str">
        <f>HYPERLINK("https://ksa1.aconex.com/MiniURL?type=MAILSEARCH&amp;mailbox=5&amp;pid=1342178882&amp;cid=1375381973","View Submission")</f>
        <v>View Submission</v>
      </c>
      <c r="W12" s="684"/>
      <c r="X12" s="669" t="s">
        <v>225</v>
      </c>
      <c r="Y12" s="685"/>
      <c r="Z12" s="686" t="s">
        <v>230</v>
      </c>
    </row>
    <row r="13" spans="2:27" s="671" customFormat="1" ht="69" customHeight="1">
      <c r="B13" s="657">
        <f t="shared" si="1"/>
        <v>3</v>
      </c>
      <c r="C13" s="658" t="str">
        <f t="shared" si="0"/>
        <v>VO-05</v>
      </c>
      <c r="D13" s="659">
        <v>45433</v>
      </c>
      <c r="E13" s="658" t="s">
        <v>236</v>
      </c>
      <c r="F13" s="829" t="s">
        <v>237</v>
      </c>
      <c r="G13" s="660">
        <v>45542</v>
      </c>
      <c r="H13" s="658" t="s">
        <v>223</v>
      </c>
      <c r="I13" s="661" t="s">
        <v>238</v>
      </c>
      <c r="J13" s="661" t="s">
        <v>239</v>
      </c>
      <c r="K13" s="662"/>
      <c r="L13" s="663"/>
      <c r="M13" s="663"/>
      <c r="N13" s="664">
        <v>1100693.07</v>
      </c>
      <c r="O13" s="848" t="s">
        <v>225</v>
      </c>
      <c r="P13" s="665" t="s">
        <v>240</v>
      </c>
      <c r="Q13" s="665" t="s">
        <v>240</v>
      </c>
      <c r="R13" s="855" t="s">
        <v>228</v>
      </c>
      <c r="S13" s="666" t="s">
        <v>229</v>
      </c>
      <c r="T13" s="666"/>
      <c r="U13" s="667" t="str">
        <f>HYPERLINK("https://ksa1.aconex.com/MiniURL?type=MAILSEARCH&amp;mailbox=5&amp;pid=1342178882&amp;cid=1374600277","Open in Aconex")</f>
        <v>Open in Aconex</v>
      </c>
      <c r="V13" s="667" t="str">
        <f>HYPERLINK("https://ksa1.aconex.com/MiniURL?type=MAILSEARCH&amp;mailbox=5&amp;pid=1342178882&amp;cid=1379618554","View Submission")</f>
        <v>View Submission</v>
      </c>
      <c r="W13" s="668"/>
      <c r="X13" s="685" t="s">
        <v>68</v>
      </c>
      <c r="Y13" s="669"/>
      <c r="Z13" s="670" t="s">
        <v>241</v>
      </c>
    </row>
    <row r="14" spans="2:27" s="671" customFormat="1" ht="69" customHeight="1">
      <c r="B14" s="672">
        <f t="shared" si="1"/>
        <v>4</v>
      </c>
      <c r="C14" s="673" t="str">
        <f t="shared" si="0"/>
        <v>VO-05</v>
      </c>
      <c r="D14" s="674">
        <v>45433</v>
      </c>
      <c r="E14" s="673" t="s">
        <v>236</v>
      </c>
      <c r="F14" s="830" t="s">
        <v>242</v>
      </c>
      <c r="G14" s="675">
        <v>45538</v>
      </c>
      <c r="H14" s="673" t="s">
        <v>223</v>
      </c>
      <c r="I14" s="676" t="s">
        <v>238</v>
      </c>
      <c r="J14" s="677" t="s">
        <v>238</v>
      </c>
      <c r="K14" s="678"/>
      <c r="L14" s="679"/>
      <c r="M14" s="679"/>
      <c r="N14" s="680">
        <v>3001607.58</v>
      </c>
      <c r="O14" s="848" t="s">
        <v>225</v>
      </c>
      <c r="P14" s="681" t="s">
        <v>243</v>
      </c>
      <c r="Q14" s="681" t="s">
        <v>240</v>
      </c>
      <c r="R14" s="856" t="s">
        <v>228</v>
      </c>
      <c r="S14" s="682" t="s">
        <v>229</v>
      </c>
      <c r="T14" s="682"/>
      <c r="U14" s="683" t="str">
        <f>HYPERLINK("https://ksa1.aconex.com/MiniURL?type=MAILSEARCH&amp;mailbox=5&amp;pid=1342178882&amp;cid=1374600277","Open in Aconex")</f>
        <v>Open in Aconex</v>
      </c>
      <c r="V14" s="683" t="str">
        <f>HYPERLINK("https://ksa1.aconex.com/MiniURL?type=MAILSEARCH&amp;mailbox=5&amp;pid=1342178882&amp;cid=1379618554","View Submission")</f>
        <v>View Submission</v>
      </c>
      <c r="W14" s="684"/>
      <c r="X14" s="685" t="s">
        <v>244</v>
      </c>
      <c r="Y14" s="685"/>
      <c r="Z14" s="686" t="s">
        <v>230</v>
      </c>
    </row>
    <row r="15" spans="2:27" s="671" customFormat="1" ht="69" customHeight="1">
      <c r="B15" s="657">
        <f t="shared" si="1"/>
        <v>5</v>
      </c>
      <c r="C15" s="658" t="str">
        <f t="shared" si="0"/>
        <v>VO-05</v>
      </c>
      <c r="D15" s="659">
        <v>45433</v>
      </c>
      <c r="E15" s="658" t="s">
        <v>236</v>
      </c>
      <c r="F15" s="829" t="s">
        <v>245</v>
      </c>
      <c r="G15" s="660">
        <v>45539</v>
      </c>
      <c r="H15" s="658" t="s">
        <v>223</v>
      </c>
      <c r="I15" s="661" t="s">
        <v>238</v>
      </c>
      <c r="J15" s="661" t="s">
        <v>246</v>
      </c>
      <c r="K15" s="662"/>
      <c r="L15" s="663"/>
      <c r="M15" s="663"/>
      <c r="N15" s="664">
        <v>558521.84</v>
      </c>
      <c r="O15" s="848" t="s">
        <v>225</v>
      </c>
      <c r="P15" s="665" t="s">
        <v>243</v>
      </c>
      <c r="Q15" s="665" t="s">
        <v>240</v>
      </c>
      <c r="R15" s="855" t="s">
        <v>228</v>
      </c>
      <c r="S15" s="666" t="s">
        <v>229</v>
      </c>
      <c r="T15" s="666"/>
      <c r="U15" s="667" t="str">
        <f>HYPERLINK("https://ksa1.aconex.com/MiniURL?type=MAILSEARCH&amp;mailbox=5&amp;pid=1342178882&amp;cid=1374600277","Open in Aconex")</f>
        <v>Open in Aconex</v>
      </c>
      <c r="V15" s="667" t="str">
        <f>HYPERLINK("https://ksa1.aconex.com/MiniURL?type=MAILSEARCH&amp;mailbox=5&amp;pid=1342178882&amp;cid=1379618554","View Submission")</f>
        <v>View Submission</v>
      </c>
      <c r="W15" s="668"/>
      <c r="X15" s="669" t="s">
        <v>247</v>
      </c>
      <c r="Y15" s="669"/>
      <c r="Z15" s="670" t="s">
        <v>230</v>
      </c>
    </row>
    <row r="16" spans="2:27" s="671" customFormat="1" ht="69" customHeight="1">
      <c r="B16" s="672">
        <f t="shared" si="1"/>
        <v>6</v>
      </c>
      <c r="C16" s="673" t="str">
        <f t="shared" si="0"/>
        <v>VO-08</v>
      </c>
      <c r="D16" s="674">
        <v>45546</v>
      </c>
      <c r="E16" s="673" t="s">
        <v>248</v>
      </c>
      <c r="F16" s="830" t="s">
        <v>249</v>
      </c>
      <c r="G16" s="675">
        <v>45552</v>
      </c>
      <c r="H16" s="673" t="s">
        <v>223</v>
      </c>
      <c r="I16" s="676" t="s">
        <v>250</v>
      </c>
      <c r="J16" s="677" t="s">
        <v>250</v>
      </c>
      <c r="K16" s="678"/>
      <c r="L16" s="679"/>
      <c r="M16" s="679"/>
      <c r="N16" s="680">
        <v>15581.88</v>
      </c>
      <c r="O16" s="848" t="s">
        <v>225</v>
      </c>
      <c r="P16" s="681" t="s">
        <v>251</v>
      </c>
      <c r="Q16" s="681" t="s">
        <v>252</v>
      </c>
      <c r="R16" s="856" t="s">
        <v>228</v>
      </c>
      <c r="S16" s="682" t="s">
        <v>229</v>
      </c>
      <c r="T16" s="682"/>
      <c r="U16" s="683" t="str">
        <f>HYPERLINK("https://ksa1.aconex.com/MiniURL?type=MAILSEARCH&amp;mailbox=5&amp;pid=1342178882&amp;cid=1380050516","Open in Aconex")</f>
        <v>Open in Aconex</v>
      </c>
      <c r="V16" s="683" t="str">
        <f>HYPERLINK("https://ksa1.aconex.com/MiniURL?type=MAILSEARCH&amp;mailbox=5&amp;pid=1342178882&amp;cid=1380366174","View Submission")</f>
        <v>View Submission</v>
      </c>
      <c r="W16" s="684"/>
      <c r="X16" s="685" t="s">
        <v>253</v>
      </c>
      <c r="Y16" s="685"/>
      <c r="Z16" s="686" t="s">
        <v>230</v>
      </c>
    </row>
    <row r="17" spans="2:26" s="671" customFormat="1" ht="69" customHeight="1">
      <c r="B17" s="657">
        <f t="shared" si="1"/>
        <v>7</v>
      </c>
      <c r="C17" s="658" t="str">
        <f t="shared" si="0"/>
        <v>VO-07</v>
      </c>
      <c r="D17" s="659">
        <v>45589</v>
      </c>
      <c r="E17" s="658" t="s">
        <v>254</v>
      </c>
      <c r="F17" s="829" t="s">
        <v>255</v>
      </c>
      <c r="G17" s="660">
        <v>45661</v>
      </c>
      <c r="H17" s="658" t="s">
        <v>223</v>
      </c>
      <c r="I17" s="661" t="s">
        <v>256</v>
      </c>
      <c r="J17" s="661" t="s">
        <v>256</v>
      </c>
      <c r="K17" s="662"/>
      <c r="L17" s="663">
        <v>-40876.879999999997</v>
      </c>
      <c r="M17" s="663">
        <v>0</v>
      </c>
      <c r="N17" s="664">
        <v>0</v>
      </c>
      <c r="O17" s="848" t="s">
        <v>225</v>
      </c>
      <c r="P17" s="665" t="s">
        <v>257</v>
      </c>
      <c r="Q17" s="665" t="s">
        <v>258</v>
      </c>
      <c r="R17" s="855" t="s">
        <v>228</v>
      </c>
      <c r="S17" s="666" t="s">
        <v>229</v>
      </c>
      <c r="T17" s="666"/>
      <c r="U17" s="667" t="str">
        <f>HYPERLINK("https://ksa1.aconex.com/MiniURL?type=MAILSEARCH&amp;mailbox=5&amp;pid=1342178882&amp;cid=1382366478","Open in Aconex")</f>
        <v>Open in Aconex</v>
      </c>
      <c r="V17" s="667" t="str">
        <f>HYPERLINK("https://ksa1.aconex.com/MiniURL?type=MAILSEARCH&amp;mailbox=5&amp;pid=1342178882&amp;cid=1386223816","View Submission")</f>
        <v>View Submission</v>
      </c>
      <c r="W17" s="668"/>
      <c r="X17" s="685" t="s">
        <v>259</v>
      </c>
      <c r="Y17" s="669"/>
      <c r="Z17" s="670"/>
    </row>
    <row r="18" spans="2:26" s="671" customFormat="1" ht="69" customHeight="1">
      <c r="B18" s="672">
        <f t="shared" si="1"/>
        <v>8</v>
      </c>
      <c r="C18" s="673" t="str">
        <f t="shared" si="0"/>
        <v>VO-15</v>
      </c>
      <c r="D18" s="674">
        <v>45650</v>
      </c>
      <c r="E18" s="673" t="s">
        <v>260</v>
      </c>
      <c r="F18" s="830" t="s">
        <v>261</v>
      </c>
      <c r="G18" s="675">
        <v>45704</v>
      </c>
      <c r="H18" s="673" t="s">
        <v>223</v>
      </c>
      <c r="I18" s="676" t="s">
        <v>262</v>
      </c>
      <c r="J18" s="677" t="s">
        <v>263</v>
      </c>
      <c r="K18" s="678"/>
      <c r="L18" s="679">
        <v>10699031</v>
      </c>
      <c r="M18" s="679"/>
      <c r="N18" s="680">
        <v>10699031</v>
      </c>
      <c r="O18" s="848" t="s">
        <v>225</v>
      </c>
      <c r="P18" s="681" t="s">
        <v>264</v>
      </c>
      <c r="Q18" s="681" t="s">
        <v>265</v>
      </c>
      <c r="R18" s="856" t="s">
        <v>228</v>
      </c>
      <c r="S18" s="682" t="s">
        <v>229</v>
      </c>
      <c r="T18" s="682"/>
      <c r="U18" s="683" t="str">
        <f>HYPERLINK("https://ksa1.aconex.com/MiniURL?type=MAILSEARCH&amp;mailbox=5&amp;pid=1342178882&amp;cid=1385687757","Open in Aconex")</f>
        <v>Open in Aconex</v>
      </c>
      <c r="V18" s="683" t="str">
        <f>HYPERLINK("https://ksa1.aconex.com/MiniURL?type=MAILSEARCH&amp;mailbox=5&amp;pid=1342178882&amp;cid=1386447039","View Submission")</f>
        <v>View Submission</v>
      </c>
      <c r="W18" s="684"/>
      <c r="X18" s="669" t="s">
        <v>266</v>
      </c>
      <c r="Y18" s="685"/>
      <c r="Z18" s="686" t="s">
        <v>241</v>
      </c>
    </row>
    <row r="19" spans="2:26" s="671" customFormat="1" ht="69" customHeight="1">
      <c r="B19" s="657">
        <f t="shared" si="1"/>
        <v>9</v>
      </c>
      <c r="C19" s="658" t="str">
        <f t="shared" si="0"/>
        <v>VO-22</v>
      </c>
      <c r="D19" s="659">
        <v>45768</v>
      </c>
      <c r="E19" s="658" t="s">
        <v>267</v>
      </c>
      <c r="F19" s="829" t="s">
        <v>268</v>
      </c>
      <c r="G19" s="660">
        <v>45796</v>
      </c>
      <c r="H19" s="658" t="s">
        <v>223</v>
      </c>
      <c r="I19" s="661" t="s">
        <v>269</v>
      </c>
      <c r="J19" s="661" t="s">
        <v>270</v>
      </c>
      <c r="K19" s="662">
        <v>45873</v>
      </c>
      <c r="L19" s="663">
        <v>635771.67000000004</v>
      </c>
      <c r="M19" s="663">
        <v>519455.46318518498</v>
      </c>
      <c r="N19" s="664">
        <v>519455.46318518498</v>
      </c>
      <c r="O19" s="848" t="s">
        <v>225</v>
      </c>
      <c r="P19" s="665" t="s">
        <v>271</v>
      </c>
      <c r="Q19" s="665" t="s">
        <v>272</v>
      </c>
      <c r="R19" s="855" t="s">
        <v>228</v>
      </c>
      <c r="S19" s="666" t="s">
        <v>229</v>
      </c>
      <c r="T19" s="666"/>
      <c r="U19" s="667"/>
      <c r="V19" s="667" t="str">
        <f>HYPERLINK("https://ksa1.aconex.com/MiniURL?type=MAILSEARCH&amp;mailbox=5&amp;pid=1342178882&amp;cid=1392411012","View Submission")</f>
        <v>View Submission</v>
      </c>
      <c r="W19" s="668"/>
      <c r="Y19" s="669"/>
      <c r="Z19" s="670" t="s">
        <v>241</v>
      </c>
    </row>
    <row r="20" spans="2:26" s="671" customFormat="1" ht="69" customHeight="1">
      <c r="B20" s="672">
        <f t="shared" si="1"/>
        <v>10</v>
      </c>
      <c r="C20" s="673" t="str">
        <f t="shared" si="0"/>
        <v>VO-25</v>
      </c>
      <c r="D20" s="674">
        <v>45847</v>
      </c>
      <c r="E20" s="673" t="s">
        <v>273</v>
      </c>
      <c r="F20" s="830" t="s">
        <v>274</v>
      </c>
      <c r="G20" s="675">
        <v>45853</v>
      </c>
      <c r="H20" s="673" t="s">
        <v>223</v>
      </c>
      <c r="I20" s="676" t="s">
        <v>275</v>
      </c>
      <c r="J20" s="677" t="s">
        <v>275</v>
      </c>
      <c r="K20" s="678">
        <v>45858</v>
      </c>
      <c r="L20" s="679">
        <v>19944.669999999998</v>
      </c>
      <c r="M20" s="679">
        <v>17343.189999999999</v>
      </c>
      <c r="N20" s="680">
        <v>17343.189999999999</v>
      </c>
      <c r="O20" s="848" t="s">
        <v>225</v>
      </c>
      <c r="P20" s="681" t="s">
        <v>276</v>
      </c>
      <c r="Q20" s="681" t="s">
        <v>277</v>
      </c>
      <c r="R20" s="856" t="s">
        <v>228</v>
      </c>
      <c r="S20" s="682" t="s">
        <v>229</v>
      </c>
      <c r="T20" s="682"/>
      <c r="U20" s="683" t="str">
        <f>HYPERLINK("https://ksa1.aconex.com/MiniURL?type=MAILSEARCH&amp;mailbox=5&amp;pid=1342178882&amp;cid=1396038682","Open in Aconex")</f>
        <v>Open in Aconex</v>
      </c>
      <c r="V20" s="683" t="str">
        <f>HYPERLINK("https://ksa1.aconex.com/MiniURL?type=MAILSEARCH&amp;mailbox=5&amp;pid=1342178882&amp;cid=1396374231","View Submission")</f>
        <v>View Submission</v>
      </c>
      <c r="W20" s="684"/>
      <c r="X20" s="685"/>
      <c r="Y20" s="685"/>
      <c r="Z20" s="686" t="s">
        <v>278</v>
      </c>
    </row>
    <row r="21" spans="2:26" s="671" customFormat="1" ht="69" customHeight="1">
      <c r="B21" s="657">
        <f t="shared" si="1"/>
        <v>11</v>
      </c>
      <c r="C21" s="658" t="str">
        <f t="shared" si="0"/>
        <v>VO-04</v>
      </c>
      <c r="D21" s="659">
        <v>45442</v>
      </c>
      <c r="E21" s="658" t="s">
        <v>279</v>
      </c>
      <c r="F21" s="829" t="s">
        <v>280</v>
      </c>
      <c r="G21" s="660">
        <v>45692</v>
      </c>
      <c r="H21" s="658" t="s">
        <v>223</v>
      </c>
      <c r="I21" s="661" t="s">
        <v>281</v>
      </c>
      <c r="J21" s="661" t="s">
        <v>281</v>
      </c>
      <c r="K21" s="662"/>
      <c r="L21" s="663">
        <v>-278670.94</v>
      </c>
      <c r="M21" s="663">
        <v>-747365.98160000006</v>
      </c>
      <c r="N21" s="664">
        <v>-504221.15</v>
      </c>
      <c r="O21" s="848" t="s">
        <v>225</v>
      </c>
      <c r="P21" s="665" t="s">
        <v>282</v>
      </c>
      <c r="Q21" s="665" t="s">
        <v>283</v>
      </c>
      <c r="R21" s="855" t="s">
        <v>228</v>
      </c>
      <c r="S21" s="666" t="s">
        <v>229</v>
      </c>
      <c r="T21" s="666"/>
      <c r="U21" s="667"/>
      <c r="V21" s="667" t="str">
        <f>HYPERLINK("https://ksa1.aconex.com/MiniURL?type=MAILSEARCH&amp;mailbox=5&amp;pid=1342178882&amp;cid=1387993288","View Submission")</f>
        <v>View Submission</v>
      </c>
      <c r="W21" s="668"/>
      <c r="X21" s="669"/>
      <c r="Y21" s="669"/>
      <c r="Z21" s="670" t="s">
        <v>241</v>
      </c>
    </row>
    <row r="22" spans="2:26" s="671" customFormat="1" ht="69" customHeight="1">
      <c r="B22" s="672">
        <f t="shared" si="1"/>
        <v>12</v>
      </c>
      <c r="C22" s="673" t="str">
        <f t="shared" si="0"/>
        <v>VO-20</v>
      </c>
      <c r="D22" s="674">
        <v>45843</v>
      </c>
      <c r="E22" s="673" t="s">
        <v>284</v>
      </c>
      <c r="F22" s="830" t="s">
        <v>285</v>
      </c>
      <c r="G22" s="675">
        <v>45857</v>
      </c>
      <c r="H22" s="673" t="s">
        <v>223</v>
      </c>
      <c r="I22" s="676" t="s">
        <v>286</v>
      </c>
      <c r="J22" s="677" t="s">
        <v>286</v>
      </c>
      <c r="K22" s="678">
        <v>45892</v>
      </c>
      <c r="L22" s="679">
        <v>669692.26</v>
      </c>
      <c r="M22" s="679">
        <v>372927.79</v>
      </c>
      <c r="N22" s="680">
        <v>372927.79</v>
      </c>
      <c r="O22" s="848" t="s">
        <v>225</v>
      </c>
      <c r="P22" s="681" t="s">
        <v>287</v>
      </c>
      <c r="Q22" s="681" t="s">
        <v>288</v>
      </c>
      <c r="R22" s="856" t="s">
        <v>228</v>
      </c>
      <c r="S22" s="682" t="s">
        <v>229</v>
      </c>
      <c r="T22" s="682"/>
      <c r="U22" s="683" t="str">
        <f>HYPERLINK("https://ksa1.aconex.com/MiniURL?type=MAILSEARCH&amp;mailbox=5&amp;pid=1342178882&amp;cid=1395787836","Open in Aconex")</f>
        <v>Open in Aconex</v>
      </c>
      <c r="V22" s="683" t="str">
        <f>HYPERLINK("https://ksa1.aconex.com/MiniURL?type=MAILSEARCH&amp;mailbox=5&amp;pid=1342178882&amp;cid=1396610099","View Submission")</f>
        <v>View Submission</v>
      </c>
      <c r="W22" s="684"/>
      <c r="X22" s="685"/>
      <c r="Y22" s="685"/>
      <c r="Z22" s="686" t="s">
        <v>230</v>
      </c>
    </row>
    <row r="23" spans="2:26" s="671" customFormat="1" ht="69" customHeight="1">
      <c r="B23" s="657">
        <f t="shared" si="1"/>
        <v>13</v>
      </c>
      <c r="C23" s="658" t="str">
        <f t="shared" si="0"/>
        <v>VO-27</v>
      </c>
      <c r="D23" s="659">
        <v>45816</v>
      </c>
      <c r="E23" s="658" t="s">
        <v>289</v>
      </c>
      <c r="F23" s="829" t="s">
        <v>290</v>
      </c>
      <c r="G23" s="660">
        <v>45858</v>
      </c>
      <c r="H23" s="658" t="s">
        <v>223</v>
      </c>
      <c r="I23" s="661" t="s">
        <v>291</v>
      </c>
      <c r="J23" s="661" t="s">
        <v>291</v>
      </c>
      <c r="K23" s="662">
        <v>45874</v>
      </c>
      <c r="L23" s="663">
        <v>81841.95</v>
      </c>
      <c r="M23" s="663">
        <v>46879.800640000001</v>
      </c>
      <c r="N23" s="664">
        <v>46879.8</v>
      </c>
      <c r="O23" s="848" t="s">
        <v>225</v>
      </c>
      <c r="P23" s="665" t="s">
        <v>292</v>
      </c>
      <c r="Q23" s="665" t="s">
        <v>293</v>
      </c>
      <c r="R23" s="855" t="s">
        <v>228</v>
      </c>
      <c r="S23" s="666" t="s">
        <v>229</v>
      </c>
      <c r="T23" s="666"/>
      <c r="U23" s="667" t="str">
        <f>HYPERLINK("https://ksa1.aconex.com/MiniURL?type=MAILSEARCH&amp;mailbox=5&amp;pid=1342178882&amp;cid=1394408468","Open in Aconex")</f>
        <v>Open in Aconex</v>
      </c>
      <c r="V23" s="667" t="str">
        <f>HYPERLINK("https://ksa1.aconex.com/MiniURL?type=MAILSEARCH&amp;mailbox=5&amp;pid=1342178882&amp;cid=1396622443","View Submission")</f>
        <v>View Submission</v>
      </c>
      <c r="W23" s="668"/>
      <c r="X23" s="669"/>
      <c r="Y23" s="669"/>
      <c r="Z23" s="670" t="s">
        <v>230</v>
      </c>
    </row>
    <row r="24" spans="2:26" s="671" customFormat="1" ht="69" customHeight="1">
      <c r="B24" s="672">
        <f t="shared" si="1"/>
        <v>14</v>
      </c>
      <c r="C24" s="673" t="str">
        <f t="shared" si="0"/>
        <v>VO-26</v>
      </c>
      <c r="D24" s="674">
        <v>45829</v>
      </c>
      <c r="E24" s="673" t="s">
        <v>294</v>
      </c>
      <c r="F24" s="830" t="s">
        <v>295</v>
      </c>
      <c r="G24" s="675">
        <v>45832</v>
      </c>
      <c r="H24" s="673" t="s">
        <v>223</v>
      </c>
      <c r="I24" s="676" t="s">
        <v>296</v>
      </c>
      <c r="J24" s="677" t="s">
        <v>296</v>
      </c>
      <c r="K24" s="678">
        <v>45861</v>
      </c>
      <c r="L24" s="679">
        <v>318771.21999999997</v>
      </c>
      <c r="M24" s="679">
        <v>-95869.692299999995</v>
      </c>
      <c r="N24" s="680">
        <v>-95869.692299999995</v>
      </c>
      <c r="O24" s="848" t="s">
        <v>225</v>
      </c>
      <c r="P24" s="681" t="s">
        <v>297</v>
      </c>
      <c r="Q24" s="681" t="s">
        <v>298</v>
      </c>
      <c r="R24" s="856" t="s">
        <v>228</v>
      </c>
      <c r="S24" s="682" t="s">
        <v>229</v>
      </c>
      <c r="T24" s="682"/>
      <c r="U24" s="683" t="str">
        <f>HYPERLINK("https://ksa1.aconex.com/MiniURL?type=MAILSEARCH&amp;mailbox=5&amp;pid=1342178882&amp;cid=1394972529","Open in Aconex")</f>
        <v>Open in Aconex</v>
      </c>
      <c r="V24" s="683" t="str">
        <f>HYPERLINK("https://ksa1.aconex.com/MiniURL?type=MAILSEARCH&amp;mailbox=5&amp;pid=1342178882&amp;cid=1395185431","View Submission")</f>
        <v>View Submission</v>
      </c>
      <c r="W24" s="684"/>
      <c r="X24" s="685"/>
      <c r="Y24" s="685"/>
      <c r="Z24" s="686" t="s">
        <v>230</v>
      </c>
    </row>
    <row r="25" spans="2:26" s="671" customFormat="1" ht="69" customHeight="1">
      <c r="B25" s="657">
        <f t="shared" si="1"/>
        <v>15</v>
      </c>
      <c r="C25" s="658" t="str">
        <f t="shared" si="0"/>
        <v>VO-12</v>
      </c>
      <c r="D25" s="659">
        <v>45606</v>
      </c>
      <c r="E25" s="658" t="s">
        <v>299</v>
      </c>
      <c r="F25" s="829" t="s">
        <v>300</v>
      </c>
      <c r="G25" s="660">
        <v>45930</v>
      </c>
      <c r="H25" s="658" t="s">
        <v>223</v>
      </c>
      <c r="I25" s="661" t="s">
        <v>301</v>
      </c>
      <c r="J25" s="661" t="s">
        <v>301</v>
      </c>
      <c r="K25" s="662">
        <v>45936</v>
      </c>
      <c r="L25" s="663">
        <v>1166471.16226667</v>
      </c>
      <c r="M25" s="663">
        <v>912623.79</v>
      </c>
      <c r="N25" s="664">
        <v>912623.79</v>
      </c>
      <c r="O25" s="848" t="s">
        <v>225</v>
      </c>
      <c r="P25" s="665" t="s">
        <v>302</v>
      </c>
      <c r="Q25" s="665" t="s">
        <v>303</v>
      </c>
      <c r="R25" s="855" t="s">
        <v>228</v>
      </c>
      <c r="S25" s="666" t="s">
        <v>229</v>
      </c>
      <c r="T25" s="666"/>
      <c r="U25" s="667"/>
      <c r="V25" s="667" t="str">
        <f>HYPERLINK("https://ksa1.aconex.com/MiniURL?type=MAILSEARCH&amp;mailbox=5&amp;pid=1342178882&amp;cid=1387862439","View Submission")</f>
        <v>View Submission</v>
      </c>
      <c r="W25" s="668"/>
      <c r="X25" s="669"/>
      <c r="Y25" s="669"/>
      <c r="Z25" s="670" t="s">
        <v>304</v>
      </c>
    </row>
    <row r="26" spans="2:26" s="671" customFormat="1" ht="69" customHeight="1">
      <c r="B26" s="672">
        <f t="shared" si="1"/>
        <v>16</v>
      </c>
      <c r="C26" s="673" t="str">
        <f t="shared" ref="C26:C31" si="2">LEFT(IFERROR("VO-"&amp;_xlfn.TEXTAFTER(P26,"-00"),""),5)</f>
        <v>VO-34</v>
      </c>
      <c r="D26" s="674">
        <v>45994</v>
      </c>
      <c r="E26" s="673" t="s">
        <v>305</v>
      </c>
      <c r="F26" s="830" t="s">
        <v>306</v>
      </c>
      <c r="G26" s="675">
        <v>46005</v>
      </c>
      <c r="H26" s="673" t="s">
        <v>223</v>
      </c>
      <c r="I26" s="676" t="s">
        <v>307</v>
      </c>
      <c r="J26" s="677" t="s">
        <v>307</v>
      </c>
      <c r="K26" s="678"/>
      <c r="L26" s="679">
        <v>592973.09</v>
      </c>
      <c r="M26" s="679">
        <v>271543.23576000001</v>
      </c>
      <c r="N26" s="680">
        <v>271543.23576000001</v>
      </c>
      <c r="O26" s="848" t="s">
        <v>225</v>
      </c>
      <c r="P26" s="681" t="s">
        <v>308</v>
      </c>
      <c r="Q26" s="681"/>
      <c r="R26" s="856" t="s">
        <v>309</v>
      </c>
      <c r="S26" s="682"/>
      <c r="T26" s="682"/>
      <c r="U26" s="683" t="str">
        <f>HYPERLINK("https://ksa1.aconex.com/MiniURL?type=MAILSEARCH&amp;mailbox=5&amp;pid=1342178882&amp;cid=1404700558","Open in Aconex")</f>
        <v>Open in Aconex</v>
      </c>
      <c r="V26" s="683" t="str">
        <f>HYPERLINK("https://ksa1.aconex.com/MiniURL?type=MAILSEARCH&amp;mailbox=5&amp;pid=1342178882&amp;cid=1405406784","View Submission")</f>
        <v>View Submission</v>
      </c>
      <c r="W26" s="684"/>
      <c r="X26" s="685"/>
      <c r="Y26" s="685"/>
      <c r="Z26" s="686" t="s">
        <v>310</v>
      </c>
    </row>
    <row r="27" spans="2:26" s="671" customFormat="1" ht="69" customHeight="1">
      <c r="B27" s="657">
        <f t="shared" si="1"/>
        <v>17</v>
      </c>
      <c r="C27" s="658" t="str">
        <f t="shared" si="2"/>
        <v>VO-09</v>
      </c>
      <c r="D27" s="659">
        <v>45656</v>
      </c>
      <c r="E27" s="658"/>
      <c r="F27" s="829" t="s">
        <v>311</v>
      </c>
      <c r="G27" s="660">
        <v>45663</v>
      </c>
      <c r="H27" s="658" t="s">
        <v>223</v>
      </c>
      <c r="I27" s="661" t="s">
        <v>312</v>
      </c>
      <c r="J27" s="661" t="s">
        <v>312</v>
      </c>
      <c r="K27" s="662">
        <v>45787</v>
      </c>
      <c r="L27" s="663">
        <v>-3237.5865586939999</v>
      </c>
      <c r="M27" s="663">
        <v>-3237.5865586939999</v>
      </c>
      <c r="N27" s="664">
        <v>-3237.5865586939999</v>
      </c>
      <c r="O27" s="848" t="s">
        <v>225</v>
      </c>
      <c r="P27" s="665" t="s">
        <v>313</v>
      </c>
      <c r="Q27" s="665"/>
      <c r="R27" s="855"/>
      <c r="S27" s="666" t="s">
        <v>314</v>
      </c>
      <c r="T27" s="666"/>
      <c r="U27" s="667" t="s">
        <v>315</v>
      </c>
      <c r="V27" s="667" t="str">
        <f>HYPERLINK("https://ksa1.aconex.com/MiniURL?type=MAILSEARCH&amp;mailbox=5&amp;pid=1342178882&amp;cid=1386381111","View Submission")</f>
        <v>View Submission</v>
      </c>
      <c r="W27" s="684"/>
      <c r="X27" s="685"/>
      <c r="Y27" s="685"/>
      <c r="Z27" s="670"/>
    </row>
    <row r="28" spans="2:26" s="671" customFormat="1" ht="69" customHeight="1">
      <c r="B28" s="672">
        <f t="shared" si="1"/>
        <v>18</v>
      </c>
      <c r="C28" s="673" t="str">
        <f t="shared" si="2"/>
        <v>VO-55</v>
      </c>
      <c r="D28" s="674">
        <v>46062</v>
      </c>
      <c r="E28" s="673"/>
      <c r="F28" s="830" t="s">
        <v>316</v>
      </c>
      <c r="G28" s="675" t="s">
        <v>317</v>
      </c>
      <c r="H28" s="673" t="s">
        <v>223</v>
      </c>
      <c r="I28" s="676" t="s">
        <v>318</v>
      </c>
      <c r="J28" s="677" t="s">
        <v>318</v>
      </c>
      <c r="K28" s="678"/>
      <c r="L28" s="679">
        <v>8394.8700000000008</v>
      </c>
      <c r="M28" s="679">
        <v>5626.23</v>
      </c>
      <c r="N28" s="680">
        <f>M28</f>
        <v>5626.23</v>
      </c>
      <c r="O28" s="848" t="s">
        <v>225</v>
      </c>
      <c r="P28" s="681" t="s">
        <v>319</v>
      </c>
      <c r="Q28" s="681"/>
      <c r="R28" s="856" t="s">
        <v>320</v>
      </c>
      <c r="S28" s="682"/>
      <c r="T28" s="682"/>
      <c r="U28" s="683" t="str">
        <f>HYPERLINK("https://ksa1.aconex.com/MiniURL?type=MAILSEARCH&amp;mailbox=5&amp;pid=1342178882&amp;cid=1408837081","Open in Aconex")</f>
        <v>Open in Aconex</v>
      </c>
      <c r="V28" s="683" t="str">
        <f>HYPERLINK("https://ksa1.aconex.com/MiniURL?type=MAILSEARCH&amp;mailbox=5&amp;pid=1342178882&amp;cid=1409155110","View Submission")</f>
        <v>View Submission</v>
      </c>
      <c r="W28" s="684"/>
      <c r="X28" s="685"/>
      <c r="Y28" s="685"/>
      <c r="Z28" s="686"/>
    </row>
    <row r="29" spans="2:26" s="671" customFormat="1" ht="69" customHeight="1">
      <c r="B29" s="657">
        <f>B28+1</f>
        <v>19</v>
      </c>
      <c r="C29" s="658" t="str">
        <f t="shared" si="2"/>
        <v>VO-21</v>
      </c>
      <c r="D29" s="659">
        <v>45881</v>
      </c>
      <c r="E29" s="658"/>
      <c r="F29" s="829" t="s">
        <v>321</v>
      </c>
      <c r="G29" s="660">
        <v>45890</v>
      </c>
      <c r="H29" s="658" t="s">
        <v>223</v>
      </c>
      <c r="I29" s="661" t="s">
        <v>322</v>
      </c>
      <c r="J29" s="661" t="s">
        <v>322</v>
      </c>
      <c r="K29" s="662"/>
      <c r="L29" s="663">
        <v>10039.5758526469</v>
      </c>
      <c r="M29" s="663">
        <v>2914.77</v>
      </c>
      <c r="N29" s="664">
        <f>M29</f>
        <v>2914.77</v>
      </c>
      <c r="O29" s="848" t="s">
        <v>225</v>
      </c>
      <c r="P29" s="665" t="s">
        <v>323</v>
      </c>
      <c r="Q29" s="665"/>
      <c r="R29" s="855" t="s">
        <v>228</v>
      </c>
      <c r="S29" s="666" t="s">
        <v>229</v>
      </c>
      <c r="T29" s="666"/>
      <c r="U29" s="667" t="str">
        <f>HYPERLINK("https://ksa1.aconex.com/MiniURL?type=MAILSEARCH&amp;mailbox=5&amp;pid=1342178882&amp;cid=1397994822","Open in Aconex")</f>
        <v>Open in Aconex</v>
      </c>
      <c r="V29" s="667" t="str">
        <f>HYPERLINK("https://ksa1.aconex.com/MiniURL?type=MAILSEARCH&amp;mailbox=5&amp;pid=1342178882&amp;cid=1398537728","View Submission")</f>
        <v>View Submission</v>
      </c>
      <c r="W29" s="668"/>
      <c r="X29" s="669" t="s">
        <v>324</v>
      </c>
      <c r="Y29" s="669"/>
      <c r="Z29" s="670" t="s">
        <v>310</v>
      </c>
    </row>
    <row r="30" spans="2:26" s="671" customFormat="1" ht="69" customHeight="1">
      <c r="B30" s="672">
        <f>B29+1</f>
        <v>20</v>
      </c>
      <c r="C30" s="673" t="str">
        <f t="shared" si="2"/>
        <v>VO-33</v>
      </c>
      <c r="D30" s="674">
        <v>45923</v>
      </c>
      <c r="E30" s="673"/>
      <c r="F30" s="830" t="s">
        <v>325</v>
      </c>
      <c r="G30" s="675">
        <v>45941</v>
      </c>
      <c r="H30" s="673" t="s">
        <v>223</v>
      </c>
      <c r="I30" s="676" t="s">
        <v>326</v>
      </c>
      <c r="J30" s="677" t="s">
        <v>327</v>
      </c>
      <c r="K30" s="678"/>
      <c r="L30" s="679">
        <v>100533.74400000001</v>
      </c>
      <c r="M30" s="679">
        <v>66373.62</v>
      </c>
      <c r="N30" s="680">
        <f t="shared" ref="N30:N31" si="3">M30</f>
        <v>66373.62</v>
      </c>
      <c r="O30" s="848" t="s">
        <v>225</v>
      </c>
      <c r="P30" s="681" t="s">
        <v>328</v>
      </c>
      <c r="Q30" s="681"/>
      <c r="R30" s="856" t="s">
        <v>329</v>
      </c>
      <c r="S30" s="682"/>
      <c r="T30" s="682"/>
      <c r="U30" s="683" t="str">
        <f>HYPERLINK("https://ksa1.aconex.com/MiniURL?type=MAILSEARCH&amp;mailbox=5&amp;pid=1342178882&amp;cid=1400421785","Open in Aconex")</f>
        <v>Open in Aconex</v>
      </c>
      <c r="V30" s="683" t="str">
        <f>HYPERLINK("https://ksa1.aconex.com/MiniURL?type=MAILSEARCH&amp;mailbox=5&amp;pid=1342178882&amp;cid=1401423017","View Submission")</f>
        <v>View Submission</v>
      </c>
      <c r="W30" s="684"/>
      <c r="X30" s="685"/>
      <c r="Y30" s="685"/>
      <c r="Z30" s="686"/>
    </row>
    <row r="31" spans="2:26" s="671" customFormat="1" ht="69" customHeight="1">
      <c r="B31" s="657">
        <f>B30+1</f>
        <v>21</v>
      </c>
      <c r="C31" s="658" t="str">
        <f t="shared" si="2"/>
        <v>VO-45</v>
      </c>
      <c r="D31" s="659">
        <v>46034</v>
      </c>
      <c r="E31" s="658"/>
      <c r="F31" s="829" t="s">
        <v>330</v>
      </c>
      <c r="G31" s="660">
        <v>46065</v>
      </c>
      <c r="H31" s="658" t="s">
        <v>223</v>
      </c>
      <c r="I31" s="661" t="s">
        <v>331</v>
      </c>
      <c r="J31" s="661" t="s">
        <v>331</v>
      </c>
      <c r="K31" s="662"/>
      <c r="L31" s="663">
        <v>252445.35</v>
      </c>
      <c r="M31" s="663">
        <v>133703.995182602</v>
      </c>
      <c r="N31" s="664">
        <f t="shared" si="3"/>
        <v>133703.995182602</v>
      </c>
      <c r="O31" s="848" t="s">
        <v>225</v>
      </c>
      <c r="P31" s="665" t="s">
        <v>332</v>
      </c>
      <c r="Q31" s="665"/>
      <c r="R31" s="855" t="s">
        <v>329</v>
      </c>
      <c r="S31" s="666"/>
      <c r="T31" s="666"/>
      <c r="U31" s="667" t="str">
        <f>HYPERLINK("https://ksa1.aconex.com/MiniURL?type=MAILSEARCH&amp;mailbox=5&amp;pid=1342178882&amp;cid=1407129869","Open in Aconex")</f>
        <v>Open in Aconex</v>
      </c>
      <c r="V31" s="667" t="str">
        <f>HYPERLINK("https://ksa1.aconex.com/MiniURL?type=MAILSEARCH&amp;mailbox=5&amp;pid=1342178882&amp;cid=1408993598","View Submission")</f>
        <v>View Submission</v>
      </c>
      <c r="W31" s="668"/>
      <c r="X31" s="669"/>
      <c r="Y31" s="669"/>
      <c r="Z31" s="670"/>
    </row>
    <row r="32" spans="2:26" s="671" customFormat="1" ht="69" customHeight="1">
      <c r="B32" s="725">
        <f>B55+1</f>
        <v>67</v>
      </c>
      <c r="C32" s="726" t="str">
        <f>LEFT(IFERROR("VO-"&amp;_xlfn.TEXTAFTER(P32,"-00"),""),5)</f>
        <v>VO-18</v>
      </c>
      <c r="D32" s="727">
        <v>45763</v>
      </c>
      <c r="E32" s="726"/>
      <c r="F32" s="834" t="s">
        <v>333</v>
      </c>
      <c r="G32" s="728">
        <v>45875</v>
      </c>
      <c r="H32" s="726" t="s">
        <v>223</v>
      </c>
      <c r="I32" s="729" t="s">
        <v>334</v>
      </c>
      <c r="J32" s="730" t="s">
        <v>334</v>
      </c>
      <c r="K32" s="731"/>
      <c r="L32" s="732">
        <v>194460.1</v>
      </c>
      <c r="M32" s="732">
        <v>109935.69</v>
      </c>
      <c r="N32" s="733">
        <f>M32</f>
        <v>109935.69</v>
      </c>
      <c r="O32" s="848" t="s">
        <v>225</v>
      </c>
      <c r="P32" s="734" t="s">
        <v>335</v>
      </c>
      <c r="Q32" s="734"/>
      <c r="R32" s="855" t="s">
        <v>228</v>
      </c>
      <c r="S32" s="735" t="s">
        <v>336</v>
      </c>
      <c r="T32" s="735"/>
      <c r="U32" s="736" t="str">
        <f>HYPERLINK("https://ksa1.aconex.com/hub/index.html?mainTarget=%2Frsrc%2F20260529.1112%2Fen_AU_DOC%2Fmail%2Fview%2Findex.html%231342178882%2F1397845857%3Fe2e%3Dnull","Open in Aconex")</f>
        <v>Open in Aconex</v>
      </c>
      <c r="V32" s="736" t="str">
        <f>HYPERLINK("https://ksa1.aconex.com/MiniURL?type=MAILSEARCH&amp;mailbox=5&amp;pid=1342178882&amp;cid=1397659597","View Submission")</f>
        <v>View Submission</v>
      </c>
      <c r="W32" s="684"/>
      <c r="X32" s="685"/>
      <c r="Y32" s="685"/>
      <c r="Z32" s="737" t="s">
        <v>337</v>
      </c>
    </row>
    <row r="33" spans="2:26" s="671" customFormat="1" ht="69" customHeight="1">
      <c r="B33" s="687">
        <f>B31+1</f>
        <v>22</v>
      </c>
      <c r="C33" s="688" t="str">
        <f t="shared" si="0"/>
        <v>VO-11</v>
      </c>
      <c r="D33" s="689">
        <v>45693</v>
      </c>
      <c r="E33" s="688"/>
      <c r="F33" s="831" t="s">
        <v>338</v>
      </c>
      <c r="G33" s="690">
        <v>45871</v>
      </c>
      <c r="H33" s="688" t="s">
        <v>223</v>
      </c>
      <c r="I33" s="691" t="s">
        <v>339</v>
      </c>
      <c r="J33" s="691" t="s">
        <v>339</v>
      </c>
      <c r="K33" s="692"/>
      <c r="L33" s="693">
        <v>-123292.18</v>
      </c>
      <c r="M33" s="693">
        <v>-237846.63</v>
      </c>
      <c r="N33" s="694">
        <v>-237846.63</v>
      </c>
      <c r="O33" s="849" t="s">
        <v>68</v>
      </c>
      <c r="P33" s="695" t="s">
        <v>340</v>
      </c>
      <c r="Q33" s="695"/>
      <c r="R33" s="857" t="s">
        <v>228</v>
      </c>
      <c r="S33" s="696" t="s">
        <v>229</v>
      </c>
      <c r="T33" s="696"/>
      <c r="U33" s="697"/>
      <c r="V33" s="697" t="str">
        <f>HYPERLINK("https://ksa1.aconex.com/MiniURL?type=MAILSEARCH&amp;mailbox=5&amp;pid=1342178882&amp;cid=1388224710","View Submission")</f>
        <v>View Submission</v>
      </c>
      <c r="W33" s="684"/>
      <c r="X33" s="685"/>
      <c r="Y33" s="685"/>
      <c r="Z33" s="698" t="s">
        <v>304</v>
      </c>
    </row>
    <row r="34" spans="2:26" s="671" customFormat="1" ht="69" customHeight="1">
      <c r="B34" s="699">
        <f t="shared" si="1"/>
        <v>23</v>
      </c>
      <c r="C34" s="700" t="str">
        <f t="shared" si="0"/>
        <v>VO-13</v>
      </c>
      <c r="D34" s="701">
        <v>45698</v>
      </c>
      <c r="E34" s="700"/>
      <c r="F34" s="832" t="s">
        <v>341</v>
      </c>
      <c r="G34" s="702">
        <v>45703</v>
      </c>
      <c r="H34" s="700" t="s">
        <v>223</v>
      </c>
      <c r="I34" s="703" t="s">
        <v>342</v>
      </c>
      <c r="J34" s="704" t="s">
        <v>342</v>
      </c>
      <c r="K34" s="705"/>
      <c r="L34" s="706">
        <v>-76534.47</v>
      </c>
      <c r="M34" s="706">
        <v>-209293.04</v>
      </c>
      <c r="N34" s="707">
        <f>M34</f>
        <v>-209293.04</v>
      </c>
      <c r="O34" s="849" t="s">
        <v>68</v>
      </c>
      <c r="P34" s="708" t="s">
        <v>343</v>
      </c>
      <c r="Q34" s="708"/>
      <c r="R34" s="858" t="s">
        <v>344</v>
      </c>
      <c r="S34" s="709" t="s">
        <v>229</v>
      </c>
      <c r="T34" s="709"/>
      <c r="U34" s="710"/>
      <c r="V34" s="710" t="str">
        <f>HYPERLINK("https://ksa1.aconex.com/MiniURL?type=MAILSEARCH&amp;mailbox=5&amp;pid=1342178882&amp;cid=1388618277","View Submission")</f>
        <v>View Submission</v>
      </c>
      <c r="W34" s="668"/>
      <c r="X34" s="669"/>
      <c r="Y34" s="669"/>
      <c r="Z34" s="711" t="s">
        <v>337</v>
      </c>
    </row>
    <row r="35" spans="2:26" s="671" customFormat="1" ht="69" customHeight="1">
      <c r="B35" s="687">
        <f t="shared" si="1"/>
        <v>24</v>
      </c>
      <c r="C35" s="688" t="str">
        <f t="shared" si="0"/>
        <v>VO-06</v>
      </c>
      <c r="D35" s="689">
        <v>45652</v>
      </c>
      <c r="E35" s="688"/>
      <c r="F35" s="831" t="s">
        <v>345</v>
      </c>
      <c r="G35" s="690">
        <v>45894</v>
      </c>
      <c r="H35" s="688" t="s">
        <v>223</v>
      </c>
      <c r="I35" s="691" t="s">
        <v>346</v>
      </c>
      <c r="J35" s="691" t="s">
        <v>347</v>
      </c>
      <c r="K35" s="692">
        <v>45725</v>
      </c>
      <c r="L35" s="693">
        <v>-30297.49</v>
      </c>
      <c r="M35" s="693">
        <v>-50481.69</v>
      </c>
      <c r="N35" s="694">
        <v>-50481.69</v>
      </c>
      <c r="O35" s="850" t="s">
        <v>68</v>
      </c>
      <c r="P35" s="695" t="s">
        <v>348</v>
      </c>
      <c r="Q35" s="695"/>
      <c r="R35" s="857" t="s">
        <v>228</v>
      </c>
      <c r="S35" s="696" t="s">
        <v>229</v>
      </c>
      <c r="T35" s="696"/>
      <c r="U35" s="697"/>
      <c r="V35" s="697" t="str">
        <f>HYPERLINK("https://ksa1.aconex.com/MiniURL?type=MAILSEARCH&amp;mailbox=5&amp;pid=1342178882&amp;cid=1386469600","View Submission")</f>
        <v>View Submission</v>
      </c>
      <c r="W35" s="684"/>
      <c r="X35" s="685"/>
      <c r="Y35" s="685"/>
      <c r="Z35" s="698" t="s">
        <v>337</v>
      </c>
    </row>
    <row r="36" spans="2:26" s="671" customFormat="1" ht="69" customHeight="1">
      <c r="B36" s="699">
        <f t="shared" si="1"/>
        <v>25</v>
      </c>
      <c r="C36" s="700" t="str">
        <f t="shared" si="0"/>
        <v>VO-19</v>
      </c>
      <c r="D36" s="701">
        <v>45756</v>
      </c>
      <c r="E36" s="700"/>
      <c r="F36" s="832" t="s">
        <v>349</v>
      </c>
      <c r="G36" s="702">
        <v>45827</v>
      </c>
      <c r="H36" s="700" t="s">
        <v>223</v>
      </c>
      <c r="I36" s="703" t="s">
        <v>350</v>
      </c>
      <c r="J36" s="704" t="s">
        <v>350</v>
      </c>
      <c r="K36" s="705">
        <v>45858</v>
      </c>
      <c r="L36" s="706">
        <v>45143.47</v>
      </c>
      <c r="M36" s="706">
        <v>7557.19</v>
      </c>
      <c r="N36" s="707">
        <v>7557.19</v>
      </c>
      <c r="O36" s="849" t="s">
        <v>68</v>
      </c>
      <c r="P36" s="708" t="s">
        <v>351</v>
      </c>
      <c r="Q36" s="708"/>
      <c r="R36" s="858" t="s">
        <v>228</v>
      </c>
      <c r="S36" s="709" t="s">
        <v>229</v>
      </c>
      <c r="T36" s="709"/>
      <c r="U36" s="710" t="str">
        <f>HYPERLINK("https://ksa1.aconex.com/MiniURL?type=MAILSEARCH&amp;mailbox=5&amp;pid=1342178882&amp;cid=1391114597","Open in Aconex")</f>
        <v>Open in Aconex</v>
      </c>
      <c r="V36" s="710" t="str">
        <f>HYPERLINK("https://ksa1.aconex.com/MiniURL?type=MAILSEARCH&amp;mailbox=5&amp;pid=1342178882&amp;cid=1394873320","View Submission")</f>
        <v>View Submission</v>
      </c>
      <c r="W36" s="668"/>
      <c r="X36" s="669"/>
      <c r="Y36" s="669"/>
      <c r="Z36" s="711"/>
    </row>
    <row r="37" spans="2:26" s="671" customFormat="1" ht="69" customHeight="1">
      <c r="B37" s="687">
        <f t="shared" si="1"/>
        <v>26</v>
      </c>
      <c r="C37" s="688" t="str">
        <f>LEFT(IFERROR("VO-"&amp;_xlfn.TEXTAFTER(P37,"-00"),""),5)</f>
        <v>VO-39</v>
      </c>
      <c r="D37" s="689">
        <v>45924</v>
      </c>
      <c r="E37" s="688"/>
      <c r="F37" s="831" t="s">
        <v>352</v>
      </c>
      <c r="G37" s="690">
        <v>45925</v>
      </c>
      <c r="H37" s="688" t="s">
        <v>223</v>
      </c>
      <c r="I37" s="691" t="s">
        <v>353</v>
      </c>
      <c r="J37" s="691" t="s">
        <v>353</v>
      </c>
      <c r="K37" s="692"/>
      <c r="L37" s="693">
        <v>3242.53</v>
      </c>
      <c r="M37" s="693">
        <v>1066.52</v>
      </c>
      <c r="N37" s="694">
        <v>1066.52</v>
      </c>
      <c r="O37" s="849" t="s">
        <v>68</v>
      </c>
      <c r="P37" s="695" t="s">
        <v>354</v>
      </c>
      <c r="Q37" s="695"/>
      <c r="R37" s="857" t="s">
        <v>355</v>
      </c>
      <c r="S37" s="696"/>
      <c r="T37" s="696"/>
      <c r="U37" s="697" t="str">
        <f>HYPERLINK("https://ksa1.aconex.com/MiniURL?type=MAILSEARCH&amp;mailbox=5&amp;pid=1342178882&amp;cid=1400471683","Open in Aconex")</f>
        <v>Open in Aconex</v>
      </c>
      <c r="V37" s="697" t="str">
        <f>HYPERLINK("https://ksa1.aconex.com/MiniURL?type=MAILSEARCH&amp;mailbox=5&amp;pid=1342178882&amp;cid=1400547281","View Submission")</f>
        <v>View Submission</v>
      </c>
      <c r="W37" s="668"/>
      <c r="X37" s="669"/>
      <c r="Y37" s="669"/>
      <c r="Z37" s="698" t="s">
        <v>356</v>
      </c>
    </row>
    <row r="38" spans="2:26" s="671" customFormat="1" ht="69" customHeight="1">
      <c r="B38" s="699">
        <f t="shared" si="1"/>
        <v>27</v>
      </c>
      <c r="C38" s="700" t="str">
        <f>LEFT(IFERROR("VO-"&amp;_xlfn.TEXTAFTER(P38,"-00"),""),5)</f>
        <v>VO-32</v>
      </c>
      <c r="D38" s="701">
        <v>45923</v>
      </c>
      <c r="E38" s="700"/>
      <c r="F38" s="832" t="s">
        <v>357</v>
      </c>
      <c r="G38" s="702">
        <v>45935</v>
      </c>
      <c r="H38" s="700" t="s">
        <v>223</v>
      </c>
      <c r="I38" s="703" t="s">
        <v>358</v>
      </c>
      <c r="J38" s="704" t="s">
        <v>358</v>
      </c>
      <c r="K38" s="705"/>
      <c r="L38" s="706">
        <v>18314.8</v>
      </c>
      <c r="M38" s="706">
        <v>7667.65</v>
      </c>
      <c r="N38" s="707">
        <f>M38</f>
        <v>7667.65</v>
      </c>
      <c r="O38" s="849" t="s">
        <v>68</v>
      </c>
      <c r="P38" s="708" t="s">
        <v>359</v>
      </c>
      <c r="Q38" s="708"/>
      <c r="R38" s="858" t="s">
        <v>329</v>
      </c>
      <c r="S38" s="709"/>
      <c r="T38" s="709"/>
      <c r="U38" s="710" t="str">
        <f>HYPERLINK("https://ksa1.aconex.com/MiniURL?type=MAILSEARCH&amp;mailbox=5&amp;pid=1342178882&amp;cid=1400421230","Open in Aconex")</f>
        <v>Open in Aconex</v>
      </c>
      <c r="V38" s="710" t="str">
        <f>HYPERLINK("https://ksa1.aconex.com/MiniURL?type=MAILSEARCH&amp;mailbox=5&amp;pid=1342178882&amp;cid=1401081896","View Submission")</f>
        <v>View Submission</v>
      </c>
      <c r="W38" s="668"/>
      <c r="X38" s="669"/>
      <c r="Y38" s="669"/>
      <c r="Z38" s="711" t="s">
        <v>304</v>
      </c>
    </row>
    <row r="39" spans="2:26" s="671" customFormat="1" ht="69" customHeight="1">
      <c r="B39" s="687">
        <f t="shared" si="1"/>
        <v>28</v>
      </c>
      <c r="C39" s="688" t="str">
        <f>LEFT(IFERROR("VO-"&amp;_xlfn.TEXTAFTER(P39,"-00"),""),5)</f>
        <v>VO-28</v>
      </c>
      <c r="D39" s="689">
        <v>45853</v>
      </c>
      <c r="E39" s="688"/>
      <c r="F39" s="831" t="s">
        <v>360</v>
      </c>
      <c r="G39" s="690">
        <v>45977</v>
      </c>
      <c r="H39" s="688" t="s">
        <v>223</v>
      </c>
      <c r="I39" s="691" t="s">
        <v>361</v>
      </c>
      <c r="J39" s="691" t="s">
        <v>361</v>
      </c>
      <c r="K39" s="692"/>
      <c r="L39" s="693">
        <v>300617.65728835203</v>
      </c>
      <c r="M39" s="693">
        <v>154638.39000000001</v>
      </c>
      <c r="N39" s="694">
        <v>154638.39000000001</v>
      </c>
      <c r="O39" s="851" t="s">
        <v>68</v>
      </c>
      <c r="P39" s="695" t="s">
        <v>362</v>
      </c>
      <c r="Q39" s="695"/>
      <c r="R39" s="857"/>
      <c r="S39" s="712"/>
      <c r="T39" s="712"/>
      <c r="U39" s="697" t="str">
        <f>HYPERLINK("https://ksa1.aconex.com/MiniURL?type=MAILSEARCH&amp;mailbox=5&amp;pid=1342178882&amp;cid=1396406699","Open in Aconex")</f>
        <v>Open in Aconex</v>
      </c>
      <c r="V39" s="697" t="str">
        <f>HYPERLINK("https://ksa1.aconex.com/MiniURL?type=MAILSEARCH&amp;mailbox=5&amp;pid=1342178882&amp;cid=1403594774","View Submission")</f>
        <v>View Submission</v>
      </c>
      <c r="W39" s="668"/>
      <c r="X39" s="669"/>
      <c r="Y39" s="669"/>
      <c r="Z39" s="698" t="s">
        <v>304</v>
      </c>
    </row>
    <row r="40" spans="2:26" s="671" customFormat="1" ht="69" customHeight="1">
      <c r="B40" s="699">
        <f t="shared" si="1"/>
        <v>29</v>
      </c>
      <c r="C40" s="700" t="str">
        <f>LEFT(IFERROR("VO-"&amp;_xlfn.TEXTAFTER(P40,"-00"),""),5)</f>
        <v>VO-16</v>
      </c>
      <c r="D40" s="701">
        <v>45676</v>
      </c>
      <c r="E40" s="700"/>
      <c r="F40" s="832" t="s">
        <v>363</v>
      </c>
      <c r="G40" s="702">
        <v>45691</v>
      </c>
      <c r="H40" s="700" t="s">
        <v>223</v>
      </c>
      <c r="I40" s="703" t="s">
        <v>364</v>
      </c>
      <c r="J40" s="704" t="s">
        <v>364</v>
      </c>
      <c r="K40" s="705">
        <v>45830</v>
      </c>
      <c r="L40" s="706">
        <v>81086.98</v>
      </c>
      <c r="M40" s="706">
        <v>-35608.362380108199</v>
      </c>
      <c r="N40" s="707">
        <f>M40</f>
        <v>-35608.362380108199</v>
      </c>
      <c r="O40" s="849" t="s">
        <v>68</v>
      </c>
      <c r="P40" s="708" t="s">
        <v>365</v>
      </c>
      <c r="Q40" s="708"/>
      <c r="R40" s="858" t="s">
        <v>366</v>
      </c>
      <c r="S40" s="709" t="s">
        <v>336</v>
      </c>
      <c r="T40" s="709"/>
      <c r="U40" s="710" t="str">
        <f>HYPERLINK("https://ksa1.aconex.com/MiniURL?type=MAILSEARCH&amp;mailbox=5&amp;pid=1342178882&amp;cid=1387043564","Open in Aconex")</f>
        <v>Open in Aconex</v>
      </c>
      <c r="V40" s="710" t="str">
        <f>HYPERLINK("https://ksa1.aconex.com/MiniURL?type=MAILSEARCH&amp;mailbox=5&amp;pid=1342178882&amp;cid=1387914566","View Submission")</f>
        <v>View Submission</v>
      </c>
      <c r="W40" s="668"/>
      <c r="X40" s="669" t="s">
        <v>367</v>
      </c>
      <c r="Y40" s="669"/>
      <c r="Z40" s="711" t="s">
        <v>368</v>
      </c>
    </row>
    <row r="41" spans="2:26" s="671" customFormat="1" ht="69" customHeight="1">
      <c r="B41" s="713">
        <f t="shared" si="1"/>
        <v>30</v>
      </c>
      <c r="C41" s="714" t="str">
        <f t="shared" si="0"/>
        <v>VO-17</v>
      </c>
      <c r="D41" s="715">
        <v>45727</v>
      </c>
      <c r="E41" s="714"/>
      <c r="F41" s="833" t="s">
        <v>369</v>
      </c>
      <c r="G41" s="716">
        <v>45735</v>
      </c>
      <c r="H41" s="714" t="s">
        <v>223</v>
      </c>
      <c r="I41" s="717" t="s">
        <v>370</v>
      </c>
      <c r="J41" s="717" t="s">
        <v>370</v>
      </c>
      <c r="K41" s="718"/>
      <c r="L41" s="719">
        <v>3871.55</v>
      </c>
      <c r="M41" s="719">
        <v>3871.53</v>
      </c>
      <c r="N41" s="720">
        <v>3871.53</v>
      </c>
      <c r="O41" s="849" t="s">
        <v>244</v>
      </c>
      <c r="P41" s="721" t="s">
        <v>371</v>
      </c>
      <c r="Q41" s="721"/>
      <c r="R41" s="859" t="s">
        <v>372</v>
      </c>
      <c r="S41" s="722"/>
      <c r="T41" s="722"/>
      <c r="U41" s="723" t="s">
        <v>315</v>
      </c>
      <c r="V41" s="723" t="str">
        <f>HYPERLINK("https://ksa1.aconex.com/MiniURL?type=MAILSEARCH&amp;mailbox=5&amp;pid=1342178882&amp;cid=1390330845","View Submission")</f>
        <v>View Submission</v>
      </c>
      <c r="W41" s="668"/>
      <c r="X41" s="669"/>
      <c r="Y41" s="669"/>
      <c r="Z41" s="724" t="s">
        <v>368</v>
      </c>
    </row>
    <row r="42" spans="2:26" s="671" customFormat="1" ht="69" customHeight="1">
      <c r="B42" s="725">
        <f t="shared" si="1"/>
        <v>31</v>
      </c>
      <c r="C42" s="726" t="str">
        <f t="shared" si="0"/>
        <v>VO-24</v>
      </c>
      <c r="D42" s="727">
        <v>45846</v>
      </c>
      <c r="E42" s="726"/>
      <c r="F42" s="834" t="s">
        <v>373</v>
      </c>
      <c r="G42" s="728">
        <v>45855</v>
      </c>
      <c r="H42" s="726" t="s">
        <v>223</v>
      </c>
      <c r="I42" s="729" t="s">
        <v>374</v>
      </c>
      <c r="J42" s="730" t="s">
        <v>374</v>
      </c>
      <c r="K42" s="731">
        <v>45857</v>
      </c>
      <c r="L42" s="732">
        <v>7984.66</v>
      </c>
      <c r="M42" s="732">
        <v>1659.95</v>
      </c>
      <c r="N42" s="733">
        <v>1659.95</v>
      </c>
      <c r="O42" s="849" t="s">
        <v>244</v>
      </c>
      <c r="P42" s="734" t="s">
        <v>375</v>
      </c>
      <c r="Q42" s="734"/>
      <c r="R42" s="860" t="s">
        <v>376</v>
      </c>
      <c r="S42" s="735" t="s">
        <v>336</v>
      </c>
      <c r="T42" s="735"/>
      <c r="U42" s="736" t="str">
        <f>HYPERLINK("https://ksa1.aconex.com/MiniURL?type=MAILSEARCH&amp;mailbox=5&amp;pid=1342178882&amp;cid=1395981199","Open in Aconex")</f>
        <v>Open in Aconex</v>
      </c>
      <c r="V42" s="736" t="str">
        <f>HYPERLINK("https://ksa1.aconex.com/MiniURL?type=MAILSEARCH&amp;mailbox=5&amp;pid=1342178882&amp;cid=1396532517","View Submission")</f>
        <v>View Submission</v>
      </c>
      <c r="W42" s="668"/>
      <c r="X42" s="669"/>
      <c r="Y42" s="669"/>
      <c r="Z42" s="737"/>
    </row>
    <row r="43" spans="2:26" s="671" customFormat="1" ht="69" customHeight="1">
      <c r="B43" s="713">
        <f t="shared" si="1"/>
        <v>32</v>
      </c>
      <c r="C43" s="714" t="str">
        <f t="shared" si="0"/>
        <v>VO-35</v>
      </c>
      <c r="D43" s="715">
        <v>45913</v>
      </c>
      <c r="E43" s="714"/>
      <c r="F43" s="833" t="s">
        <v>377</v>
      </c>
      <c r="G43" s="716" t="s">
        <v>378</v>
      </c>
      <c r="H43" s="714" t="s">
        <v>223</v>
      </c>
      <c r="I43" s="717" t="s">
        <v>379</v>
      </c>
      <c r="J43" s="717" t="s">
        <v>379</v>
      </c>
      <c r="K43" s="718"/>
      <c r="L43" s="719">
        <v>15738.35</v>
      </c>
      <c r="M43" s="719">
        <v>14162.59</v>
      </c>
      <c r="N43" s="720">
        <v>14162.59</v>
      </c>
      <c r="O43" s="849" t="s">
        <v>244</v>
      </c>
      <c r="P43" s="721" t="s">
        <v>380</v>
      </c>
      <c r="Q43" s="721"/>
      <c r="R43" s="859" t="s">
        <v>381</v>
      </c>
      <c r="S43" s="722"/>
      <c r="T43" s="722"/>
      <c r="U43" s="723" t="str">
        <f>HYPERLINK("https://ksa1.aconex.com/MiniURL?type=MAILSEARCH&amp;mailbox=5&amp;pid=1342178882&amp;cid=1399833363","Open in Aconex")</f>
        <v>Open in Aconex</v>
      </c>
      <c r="V43" s="723" t="str">
        <f>HYPERLINK("https://ksa1.aconex.com/MiniURL?type=MAILSEARCH&amp;mailbox=5&amp;pid=1342178882&amp;cid=1401721317","View Submission")</f>
        <v>View Submission</v>
      </c>
      <c r="W43" s="668"/>
      <c r="X43" s="669"/>
      <c r="Y43" s="669"/>
      <c r="Z43" s="724"/>
    </row>
    <row r="44" spans="2:26" s="671" customFormat="1" ht="69" customHeight="1">
      <c r="B44" s="725">
        <f t="shared" si="1"/>
        <v>33</v>
      </c>
      <c r="C44" s="726" t="str">
        <f t="shared" si="0"/>
        <v>VO-43</v>
      </c>
      <c r="D44" s="727">
        <v>46005</v>
      </c>
      <c r="E44" s="726"/>
      <c r="F44" s="834" t="s">
        <v>382</v>
      </c>
      <c r="G44" s="728">
        <v>46067</v>
      </c>
      <c r="H44" s="726" t="s">
        <v>223</v>
      </c>
      <c r="I44" s="729" t="s">
        <v>383</v>
      </c>
      <c r="J44" s="730" t="s">
        <v>383</v>
      </c>
      <c r="K44" s="731"/>
      <c r="L44" s="732">
        <v>8287.4500000000007</v>
      </c>
      <c r="M44" s="732">
        <v>6694.8</v>
      </c>
      <c r="N44" s="733">
        <v>6694.8</v>
      </c>
      <c r="O44" s="851" t="s">
        <v>244</v>
      </c>
      <c r="P44" s="734" t="s">
        <v>384</v>
      </c>
      <c r="Q44" s="734"/>
      <c r="R44" s="860" t="s">
        <v>320</v>
      </c>
      <c r="S44" s="735"/>
      <c r="T44" s="735"/>
      <c r="U44" s="736" t="str">
        <f>HYPERLINK("https://ksa1.aconex.com/MiniURL?type=MAILSEARCH&amp;mailbox=5&amp;pid=1342178882&amp;cid=1405357362","Open in Aconex")</f>
        <v>Open in Aconex</v>
      </c>
      <c r="V44" s="736" t="str">
        <f>HYPERLINK("https://ksa1.aconex.com/MiniURL?type=MAILSEARCH&amp;mailbox=5&amp;pid=1342178882&amp;cid=1409149305","View Submission")</f>
        <v>View Submission</v>
      </c>
      <c r="W44" s="684"/>
      <c r="X44" s="685"/>
      <c r="Y44" s="685"/>
      <c r="Z44" s="737"/>
    </row>
    <row r="45" spans="2:26" s="671" customFormat="1" ht="69" customHeight="1">
      <c r="B45" s="725">
        <f>B44+1</f>
        <v>34</v>
      </c>
      <c r="C45" s="726" t="str">
        <f t="shared" si="0"/>
        <v>VO-58</v>
      </c>
      <c r="D45" s="727">
        <v>46092</v>
      </c>
      <c r="E45" s="726"/>
      <c r="F45" s="834" t="s">
        <v>385</v>
      </c>
      <c r="G45" s="728">
        <v>46092</v>
      </c>
      <c r="H45" s="726" t="s">
        <v>223</v>
      </c>
      <c r="I45" s="729"/>
      <c r="J45" s="730"/>
      <c r="K45" s="731"/>
      <c r="L45" s="732">
        <v>9603.0631431566107</v>
      </c>
      <c r="M45" s="732">
        <v>6089.2933999999996</v>
      </c>
      <c r="N45" s="733">
        <v>6089.2933999999996</v>
      </c>
      <c r="O45" s="849" t="s">
        <v>244</v>
      </c>
      <c r="P45" s="734" t="s">
        <v>386</v>
      </c>
      <c r="Q45" s="734"/>
      <c r="R45" s="860" t="s">
        <v>228</v>
      </c>
      <c r="S45" s="735" t="s">
        <v>229</v>
      </c>
      <c r="T45" s="735"/>
      <c r="U45" s="736" t="str">
        <f>HYPERLINK("https://ksa1.aconex.com/MiniURL?type=MAILSEARCH&amp;mailbox=5&amp;pid=1342178882&amp;cid=1410507397","Open in Aconex")</f>
        <v>Open in Aconex</v>
      </c>
      <c r="V45" s="736"/>
      <c r="W45" s="668"/>
      <c r="X45" s="669"/>
      <c r="Y45" s="669"/>
      <c r="Z45" s="737" t="s">
        <v>356</v>
      </c>
    </row>
    <row r="46" spans="2:26" s="671" customFormat="1" ht="69" customHeight="1">
      <c r="B46" s="713">
        <f>B45+1</f>
        <v>35</v>
      </c>
      <c r="C46" s="714" t="str">
        <f t="shared" ref="C46:C84" si="4">LEFT(IFERROR("VO-"&amp;_xlfn.TEXTAFTER(P46,"-00"),""),5)</f>
        <v>VO-14</v>
      </c>
      <c r="D46" s="715">
        <v>45698</v>
      </c>
      <c r="E46" s="714"/>
      <c r="F46" s="833" t="s">
        <v>387</v>
      </c>
      <c r="G46" s="716">
        <v>45703</v>
      </c>
      <c r="H46" s="714" t="s">
        <v>223</v>
      </c>
      <c r="I46" s="717" t="s">
        <v>388</v>
      </c>
      <c r="J46" s="717" t="s">
        <v>388</v>
      </c>
      <c r="K46" s="718">
        <v>45819</v>
      </c>
      <c r="L46" s="719">
        <v>20153.09</v>
      </c>
      <c r="M46" s="719">
        <v>-271010.81</v>
      </c>
      <c r="N46" s="720">
        <v>-180673.87</v>
      </c>
      <c r="O46" s="851" t="s">
        <v>244</v>
      </c>
      <c r="P46" s="721" t="s">
        <v>389</v>
      </c>
      <c r="Q46" s="721"/>
      <c r="R46" s="859" t="s">
        <v>390</v>
      </c>
      <c r="S46" s="722" t="s">
        <v>336</v>
      </c>
      <c r="T46" s="722"/>
      <c r="U46" s="723" t="s">
        <v>315</v>
      </c>
      <c r="V46" s="723" t="str">
        <f>HYPERLINK("https://ksa1.aconex.com/MiniURL?type=MAILSEARCH&amp;mailbox=5&amp;pid=1342178882&amp;cid=1388619070","View Submission")</f>
        <v>View Submission</v>
      </c>
      <c r="W46" s="684"/>
      <c r="X46" s="685"/>
      <c r="Y46" s="685"/>
      <c r="Z46" s="724" t="s">
        <v>304</v>
      </c>
    </row>
    <row r="47" spans="2:26" s="671" customFormat="1" ht="69" customHeight="1">
      <c r="B47" s="725">
        <f t="shared" ref="B47:B77" si="5">B46+1</f>
        <v>36</v>
      </c>
      <c r="C47" s="726" t="str">
        <f t="shared" ref="C47:C52" si="6">LEFT(IFERROR("VO-"&amp;_xlfn.TEXTAFTER(P47,"-00"),""),5)</f>
        <v>VO-57</v>
      </c>
      <c r="D47" s="727">
        <v>46036</v>
      </c>
      <c r="E47" s="726"/>
      <c r="F47" s="834" t="s">
        <v>391</v>
      </c>
      <c r="G47" s="728">
        <v>45987</v>
      </c>
      <c r="H47" s="726" t="s">
        <v>392</v>
      </c>
      <c r="I47" s="729" t="s">
        <v>393</v>
      </c>
      <c r="J47" s="730"/>
      <c r="K47" s="731"/>
      <c r="L47" s="732">
        <v>270716.15999999997</v>
      </c>
      <c r="M47" s="732">
        <v>215100.6</v>
      </c>
      <c r="N47" s="733">
        <f>M47</f>
        <v>215100.6</v>
      </c>
      <c r="O47" s="849" t="s">
        <v>244</v>
      </c>
      <c r="P47" s="734" t="s">
        <v>394</v>
      </c>
      <c r="Q47" s="734"/>
      <c r="R47" s="860" t="s">
        <v>395</v>
      </c>
      <c r="S47" s="735" t="s">
        <v>396</v>
      </c>
      <c r="T47" s="735"/>
      <c r="U47" s="736" t="str">
        <f>HYPERLINK("https://ksa1.aconex.com/MiniURL?type=MAILSEARCH&amp;mailbox=5&amp;pid=1342178882&amp;cid=1407236987","Open in Aconex")</f>
        <v>Open in Aconex</v>
      </c>
      <c r="V47" s="736" t="str">
        <f>HYPERLINK("https://ksa1.aconex.com/MiniURL?type=MAILSEARCH&amp;mailbox=5&amp;pid=1342178882&amp;cid=1409271980","View Submission")</f>
        <v>View Submission</v>
      </c>
      <c r="W47" s="668"/>
      <c r="X47" s="669"/>
      <c r="Y47" s="669"/>
      <c r="Z47" s="737"/>
    </row>
    <row r="48" spans="2:26" s="671" customFormat="1" ht="69" customHeight="1">
      <c r="B48" s="713">
        <f t="shared" si="5"/>
        <v>37</v>
      </c>
      <c r="C48" s="714" t="str">
        <f t="shared" si="6"/>
        <v>VO-49</v>
      </c>
      <c r="D48" s="715">
        <v>46040</v>
      </c>
      <c r="E48" s="714"/>
      <c r="F48" s="833" t="s">
        <v>397</v>
      </c>
      <c r="G48" s="716">
        <v>46067</v>
      </c>
      <c r="H48" s="714" t="s">
        <v>223</v>
      </c>
      <c r="I48" s="717" t="s">
        <v>398</v>
      </c>
      <c r="J48" s="717" t="s">
        <v>398</v>
      </c>
      <c r="K48" s="718"/>
      <c r="L48" s="719">
        <v>2533.29</v>
      </c>
      <c r="M48" s="719"/>
      <c r="N48" s="720">
        <f>L48</f>
        <v>2533.29</v>
      </c>
      <c r="O48" s="849" t="s">
        <v>244</v>
      </c>
      <c r="P48" s="721" t="s">
        <v>399</v>
      </c>
      <c r="Q48" s="721"/>
      <c r="R48" s="859" t="s">
        <v>400</v>
      </c>
      <c r="S48" s="722"/>
      <c r="T48" s="722"/>
      <c r="U48" s="723" t="str">
        <f>HYPERLINK("https://ksa1.aconex.com/MiniURL?type=MAILSEARCH&amp;mailbox=5&amp;pid=1342178882&amp;cid=1407475049","Open in Aconex")</f>
        <v>Open in Aconex</v>
      </c>
      <c r="V48" s="723" t="str">
        <f>HYPERLINK("https://ksa1.aconex.com/MiniURL?type=MAILSEARCH&amp;mailbox=5&amp;pid=1342178882&amp;cid=1409149403","View Submission")</f>
        <v>View Submission</v>
      </c>
      <c r="W48" s="668"/>
      <c r="X48" s="669"/>
      <c r="Y48" s="669"/>
      <c r="Z48" s="724"/>
    </row>
    <row r="49" spans="1:26" s="671" customFormat="1" ht="69" customHeight="1">
      <c r="B49" s="725">
        <f t="shared" si="5"/>
        <v>38</v>
      </c>
      <c r="C49" s="726" t="str">
        <f t="shared" si="6"/>
        <v>VO-40</v>
      </c>
      <c r="D49" s="727">
        <v>46015</v>
      </c>
      <c r="E49" s="726"/>
      <c r="F49" s="834" t="s">
        <v>401</v>
      </c>
      <c r="G49" s="728">
        <v>46029</v>
      </c>
      <c r="H49" s="726" t="s">
        <v>223</v>
      </c>
      <c r="I49" s="729" t="s">
        <v>402</v>
      </c>
      <c r="J49" s="730" t="s">
        <v>402</v>
      </c>
      <c r="K49" s="731"/>
      <c r="L49" s="732">
        <v>-58940.17</v>
      </c>
      <c r="M49" s="732">
        <f>-176761</f>
        <v>-176761</v>
      </c>
      <c r="N49" s="733">
        <f>M49</f>
        <v>-176761</v>
      </c>
      <c r="O49" s="851" t="s">
        <v>244</v>
      </c>
      <c r="P49" s="734" t="s">
        <v>403</v>
      </c>
      <c r="Q49" s="734"/>
      <c r="R49" s="860" t="s">
        <v>320</v>
      </c>
      <c r="S49" s="735" t="s">
        <v>404</v>
      </c>
      <c r="T49" s="735"/>
      <c r="U49" s="736" t="str">
        <f>HYPERLINK("https://ksa1.aconex.com/MiniURL?type=MAILSEARCH&amp;mailbox=5&amp;pid=1342178882&amp;cid=1406059155","Open in Aconex")</f>
        <v>Open in Aconex</v>
      </c>
      <c r="V49" s="736" t="str">
        <f>HYPERLINK("https://ksa1.aconex.com/MiniURL?type=MAILSEARCH&amp;mailbox=5&amp;pid=1342178882&amp;cid=1406803009","View Submission")</f>
        <v>View Submission</v>
      </c>
      <c r="W49" s="684"/>
      <c r="X49" s="685"/>
      <c r="Y49" s="685"/>
      <c r="Z49" s="737"/>
    </row>
    <row r="50" spans="1:26" s="671" customFormat="1" ht="69" customHeight="1">
      <c r="B50" s="713">
        <f t="shared" si="5"/>
        <v>39</v>
      </c>
      <c r="C50" s="714" t="str">
        <f t="shared" si="6"/>
        <v>VO-52</v>
      </c>
      <c r="D50" s="715">
        <v>46043</v>
      </c>
      <c r="E50" s="714"/>
      <c r="F50" s="833" t="s">
        <v>405</v>
      </c>
      <c r="G50" s="716"/>
      <c r="H50" s="714" t="s">
        <v>223</v>
      </c>
      <c r="I50" s="717"/>
      <c r="J50" s="717"/>
      <c r="K50" s="718"/>
      <c r="L50" s="719">
        <v>99190.372950000004</v>
      </c>
      <c r="M50" s="719">
        <v>2164.7786999999998</v>
      </c>
      <c r="N50" s="720">
        <v>2164.7786999999998</v>
      </c>
      <c r="O50" s="849" t="s">
        <v>244</v>
      </c>
      <c r="P50" s="721" t="s">
        <v>406</v>
      </c>
      <c r="Q50" s="721"/>
      <c r="R50" s="859" t="s">
        <v>407</v>
      </c>
      <c r="S50" s="722"/>
      <c r="T50" s="722"/>
      <c r="U50" s="723" t="str">
        <f>HYPERLINK("https://ksa1.aconex.com/ViewCorrespondence?Correspondence_ID=1407653861&amp;CORRESPONDENCE_MAILBOX=5&amp;PROJECT_ID=1342178882&amp;RETURN_URL=%2Frsrc%2F20260331.1915%2Fen_AU_DOC%2FmailSearch%2FCorrespondenceSearch.html%3Fmailbox%3DALLBOX&amp;index=16","Open in Acconex")</f>
        <v>Open in Acconex</v>
      </c>
      <c r="V50" s="723" t="str">
        <f>HYPERLINK("https://outlook.cloud.microsoft/mail/AAMkADcyYzI0NDlmLWYyZmYtNDZmMS1hYjA1LTcwOWRiODk4MDFkMAAuAAAAAABnqTAsp7V0SZ1t2F3LYk7oAQBzijeervL6QJCi%2FOL8YOTaAAH3%2FAh7AAA%3D/id/AAQkADcyYzI0NDlmLWYyZmYtNDZmMS1hYjA1LTcwOWRiODk4MDFkMAAQANNMyVp1XVVApkp8pG1IZhk%3D","View Submission")</f>
        <v>View Submission</v>
      </c>
      <c r="W50" s="668"/>
      <c r="X50" s="669"/>
      <c r="Y50" s="669"/>
      <c r="Z50" s="724"/>
    </row>
    <row r="51" spans="1:26" s="671" customFormat="1" ht="69" customHeight="1">
      <c r="B51" s="725">
        <f t="shared" si="5"/>
        <v>40</v>
      </c>
      <c r="C51" s="726" t="str">
        <f t="shared" si="6"/>
        <v>VO-44</v>
      </c>
      <c r="D51" s="727">
        <v>46051</v>
      </c>
      <c r="E51" s="726"/>
      <c r="F51" s="834" t="s">
        <v>408</v>
      </c>
      <c r="G51" s="728">
        <v>46066</v>
      </c>
      <c r="H51" s="726" t="s">
        <v>223</v>
      </c>
      <c r="I51" s="729" t="s">
        <v>409</v>
      </c>
      <c r="J51" s="730" t="s">
        <v>409</v>
      </c>
      <c r="K51" s="731"/>
      <c r="L51" s="732">
        <v>-5395.37</v>
      </c>
      <c r="M51" s="732">
        <v>-15888.9</v>
      </c>
      <c r="N51" s="733">
        <v>-15888.9</v>
      </c>
      <c r="O51" s="851" t="s">
        <v>244</v>
      </c>
      <c r="P51" s="734" t="s">
        <v>410</v>
      </c>
      <c r="Q51" s="734"/>
      <c r="R51" s="860" t="s">
        <v>320</v>
      </c>
      <c r="S51" s="735" t="s">
        <v>396</v>
      </c>
      <c r="T51" s="735"/>
      <c r="U51" s="736" t="str">
        <f>HYPERLINK("https://ksa1.aconex.com/MiniURL?type=MAILSEARCH&amp;mailbox=5&amp;pid=1342178882&amp;cid=1408022757","Open in Aconex")</f>
        <v>Open in Aconex</v>
      </c>
      <c r="V51" s="736" t="str">
        <f>HYPERLINK("https://ksa1.aconex.com/MiniURL?type=MAILSEARCH&amp;mailbox=5&amp;pid=1342178882&amp;cid=1409074677","View Submission")</f>
        <v>View Submission</v>
      </c>
      <c r="W51" s="684"/>
      <c r="X51" s="685"/>
      <c r="Y51" s="685"/>
      <c r="Z51" s="737" t="s">
        <v>411</v>
      </c>
    </row>
    <row r="52" spans="1:26" s="671" customFormat="1" ht="69" customHeight="1">
      <c r="B52" s="713">
        <f t="shared" si="5"/>
        <v>41</v>
      </c>
      <c r="C52" s="714" t="str">
        <f t="shared" si="6"/>
        <v>VO-53</v>
      </c>
      <c r="D52" s="715">
        <v>46035</v>
      </c>
      <c r="E52" s="714"/>
      <c r="F52" s="833" t="s">
        <v>412</v>
      </c>
      <c r="G52" s="716">
        <v>46064</v>
      </c>
      <c r="H52" s="714" t="s">
        <v>223</v>
      </c>
      <c r="I52" s="717" t="s">
        <v>413</v>
      </c>
      <c r="J52" s="717" t="s">
        <v>413</v>
      </c>
      <c r="K52" s="718"/>
      <c r="L52" s="719">
        <v>3523.58</v>
      </c>
      <c r="M52" s="719"/>
      <c r="N52" s="720">
        <v>-3956.6</v>
      </c>
      <c r="O52" s="849" t="s">
        <v>244</v>
      </c>
      <c r="P52" s="721" t="s">
        <v>414</v>
      </c>
      <c r="Q52" s="721"/>
      <c r="R52" s="859" t="s">
        <v>415</v>
      </c>
      <c r="S52" s="722"/>
      <c r="T52" s="722"/>
      <c r="U52" s="723" t="str">
        <f>HYPERLINK("https://ksa1.aconex.com/MiniURL?type=MAILSEARCH&amp;mailbox=5&amp;pid=1342178882&amp;cid=1407210494","Open in Aconex")</f>
        <v>Open in Aconex</v>
      </c>
      <c r="V52" s="723" t="str">
        <f>HYPERLINK("https://ksa1.aconex.com/MiniURL?type=MAILSEARCH&amp;mailbox=5&amp;pid=1342178882&amp;cid=1409007493","View Submission")</f>
        <v>View Submission</v>
      </c>
      <c r="W52" s="668"/>
      <c r="X52" s="669"/>
      <c r="Y52" s="669"/>
      <c r="Z52" s="724"/>
    </row>
    <row r="53" spans="1:26" s="671" customFormat="1" ht="69" customHeight="1">
      <c r="B53" s="725">
        <f t="shared" si="5"/>
        <v>42</v>
      </c>
      <c r="C53" s="726" t="str">
        <f t="shared" ref="C53:C58" si="7">LEFT(IFERROR("VO-"&amp;_xlfn.TEXTAFTER(P53,"-00"),""),5)</f>
        <v>VO-23</v>
      </c>
      <c r="D53" s="727">
        <v>45959</v>
      </c>
      <c r="E53" s="726"/>
      <c r="F53" s="834" t="s">
        <v>416</v>
      </c>
      <c r="G53" s="728">
        <v>45948</v>
      </c>
      <c r="H53" s="726" t="s">
        <v>223</v>
      </c>
      <c r="I53" s="729" t="s">
        <v>417</v>
      </c>
      <c r="J53" s="730" t="s">
        <v>418</v>
      </c>
      <c r="K53" s="731"/>
      <c r="L53" s="732">
        <v>135554.68</v>
      </c>
      <c r="M53" s="732">
        <v>109878.25</v>
      </c>
      <c r="N53" s="733">
        <f t="shared" ref="N53:N58" si="8">M53</f>
        <v>109878.25</v>
      </c>
      <c r="O53" s="851" t="s">
        <v>244</v>
      </c>
      <c r="P53" s="734" t="s">
        <v>419</v>
      </c>
      <c r="Q53" s="734"/>
      <c r="R53" s="860" t="s">
        <v>420</v>
      </c>
      <c r="S53" s="735"/>
      <c r="T53" s="735"/>
      <c r="U53" s="736" t="str">
        <f>HYPERLINK("https://ksa1.aconex.com/MiniURL?type=MAILSEARCH&amp;mailbox=5&amp;pid=1342178882&amp;cid=1402589112","Open in Aconex")</f>
        <v>Open in Aconex</v>
      </c>
      <c r="V53" s="736" t="str">
        <f>HYPERLINK("https://ksa1.aconex.com/MiniURL?type=MAILSEARCH&amp;mailbox=5&amp;pid=1342178882&amp;cid=1401873593","View Submission")</f>
        <v>View Submission</v>
      </c>
      <c r="W53" s="684"/>
      <c r="X53" s="685"/>
      <c r="Y53" s="685"/>
      <c r="Z53" s="737"/>
    </row>
    <row r="54" spans="1:26" s="671" customFormat="1" ht="69" customHeight="1">
      <c r="B54" s="713">
        <f t="shared" si="5"/>
        <v>43</v>
      </c>
      <c r="C54" s="714" t="str">
        <f t="shared" si="7"/>
        <v>VO-51</v>
      </c>
      <c r="D54" s="715">
        <v>46050</v>
      </c>
      <c r="E54" s="714"/>
      <c r="F54" s="833" t="s">
        <v>421</v>
      </c>
      <c r="G54" s="716"/>
      <c r="H54" s="714" t="s">
        <v>223</v>
      </c>
      <c r="I54" s="717"/>
      <c r="J54" s="717"/>
      <c r="K54" s="718"/>
      <c r="L54" s="719">
        <v>6613.5</v>
      </c>
      <c r="M54" s="719">
        <v>6567.42</v>
      </c>
      <c r="N54" s="720">
        <f t="shared" si="8"/>
        <v>6567.42</v>
      </c>
      <c r="O54" s="849" t="s">
        <v>244</v>
      </c>
      <c r="P54" s="721" t="s">
        <v>422</v>
      </c>
      <c r="Q54" s="721"/>
      <c r="R54" s="859" t="s">
        <v>423</v>
      </c>
      <c r="S54" s="722"/>
      <c r="T54" s="722"/>
      <c r="U54" s="723" t="str">
        <f>HYPERLINK("https://ksa1.aconex.com/MiniURL?type=MAILSEARCH&amp;mailbox=5&amp;pid=1342178882&amp;cid=1408100546","Open in Aconex")</f>
        <v>Open in Aconex</v>
      </c>
      <c r="V54" s="723"/>
      <c r="W54" s="668"/>
      <c r="X54" s="669"/>
      <c r="Y54" s="669"/>
      <c r="Z54" s="724" t="s">
        <v>356</v>
      </c>
    </row>
    <row r="55" spans="1:26" s="671" customFormat="1" ht="69" customHeight="1">
      <c r="B55" s="725">
        <f>B77+1</f>
        <v>66</v>
      </c>
      <c r="C55" s="726" t="str">
        <f t="shared" si="7"/>
        <v>VO-36</v>
      </c>
      <c r="D55" s="727">
        <v>45994</v>
      </c>
      <c r="E55" s="726"/>
      <c r="F55" s="834" t="s">
        <v>424</v>
      </c>
      <c r="G55" s="728"/>
      <c r="H55" s="726" t="s">
        <v>223</v>
      </c>
      <c r="I55" s="729"/>
      <c r="J55" s="730"/>
      <c r="K55" s="731"/>
      <c r="L55" s="732">
        <v>-34400.153437157802</v>
      </c>
      <c r="M55" s="732">
        <v>-43001.659548000003</v>
      </c>
      <c r="N55" s="733">
        <f t="shared" si="8"/>
        <v>-43001.659548000003</v>
      </c>
      <c r="O55" s="851" t="s">
        <v>244</v>
      </c>
      <c r="P55" s="734" t="s">
        <v>425</v>
      </c>
      <c r="Q55" s="734"/>
      <c r="R55" s="860" t="s">
        <v>372</v>
      </c>
      <c r="S55" s="735"/>
      <c r="T55" s="735"/>
      <c r="U55" s="736" t="str">
        <f>HYPERLINK("https://ksa1.aconex.com/MiniURL?type=MAILSEARCH&amp;mailbox=5&amp;pid=1342178882&amp;cid=1404701411","Open in Aconex")</f>
        <v>Open in Aconex</v>
      </c>
      <c r="V55" s="736" t="str">
        <f>HYPERLINK("https://ksa1.aconex.com/ViewCorrespondence?Correspondence_ID=1413032901&amp;CORRESPONDENCE_MAILBOX=5&amp;PROJECT_ID=1342178882&amp;RETURN_URL=%2Frsrc%2F20260401.1757%2Fen_AU_DOC%2FmailSearch%2FCorrespondenceSearch.html%3Fmailbox%3DALLBOX&amp;index=0","View Submission")</f>
        <v>View Submission</v>
      </c>
      <c r="W55" s="684"/>
      <c r="X55" s="685"/>
      <c r="Y55" s="685"/>
      <c r="Z55" s="737"/>
    </row>
    <row r="56" spans="1:26" s="671" customFormat="1" ht="69" customHeight="1">
      <c r="B56" s="713">
        <f>B70+1</f>
        <v>58</v>
      </c>
      <c r="C56" s="714" t="str">
        <f t="shared" si="7"/>
        <v>VO-38</v>
      </c>
      <c r="D56" s="715">
        <v>46005</v>
      </c>
      <c r="E56" s="714"/>
      <c r="F56" s="833" t="s">
        <v>426</v>
      </c>
      <c r="G56" s="716"/>
      <c r="H56" s="714" t="s">
        <v>223</v>
      </c>
      <c r="I56" s="717"/>
      <c r="J56" s="717"/>
      <c r="K56" s="718"/>
      <c r="L56" s="719">
        <v>31104.36</v>
      </c>
      <c r="M56" s="719">
        <v>22815.531529485299</v>
      </c>
      <c r="N56" s="720">
        <f t="shared" si="8"/>
        <v>22815.531529485299</v>
      </c>
      <c r="O56" s="849" t="s">
        <v>244</v>
      </c>
      <c r="P56" s="721" t="s">
        <v>427</v>
      </c>
      <c r="Q56" s="721"/>
      <c r="R56" s="859" t="s">
        <v>372</v>
      </c>
      <c r="S56" s="722"/>
      <c r="T56" s="722"/>
      <c r="U56" s="723" t="str">
        <f>HYPERLINK("https://ksa1.aconex.com/MiniURL?type=MAILSEARCH&amp;mailbox=5&amp;pid=1342178882&amp;cid=1405351637","Open in Aconex")</f>
        <v>Open in Aconex</v>
      </c>
      <c r="V56" s="723"/>
      <c r="W56" s="668"/>
      <c r="X56" s="669"/>
      <c r="Y56" s="669"/>
      <c r="Z56" s="724"/>
    </row>
    <row r="57" spans="1:26" s="671" customFormat="1" ht="69" customHeight="1">
      <c r="B57" s="713">
        <f>B65+1</f>
        <v>51</v>
      </c>
      <c r="C57" s="714" t="str">
        <f t="shared" si="7"/>
        <v>VO-50</v>
      </c>
      <c r="D57" s="715">
        <v>46002</v>
      </c>
      <c r="E57" s="714"/>
      <c r="F57" s="833" t="s">
        <v>428</v>
      </c>
      <c r="G57" s="716"/>
      <c r="H57" s="714" t="s">
        <v>223</v>
      </c>
      <c r="I57" s="717"/>
      <c r="J57" s="717"/>
      <c r="K57" s="718"/>
      <c r="L57" s="719">
        <v>143370.98000000001</v>
      </c>
      <c r="M57" s="719">
        <v>1851.7072008</v>
      </c>
      <c r="N57" s="720">
        <f t="shared" si="8"/>
        <v>1851.7072008</v>
      </c>
      <c r="O57" s="849" t="s">
        <v>244</v>
      </c>
      <c r="P57" s="721" t="s">
        <v>429</v>
      </c>
      <c r="Q57" s="721"/>
      <c r="R57" s="859" t="s">
        <v>430</v>
      </c>
      <c r="S57" s="722"/>
      <c r="T57" s="722"/>
      <c r="U57" s="723" t="str">
        <f>HYPERLINK("https://ksa1.aconex.com/MiniURL?type=MAILSEARCH&amp;mailbox=5&amp;pid=1342178882&amp;cid=1405261542","Open in Aconex")</f>
        <v>Open in Aconex</v>
      </c>
      <c r="V57" s="723"/>
      <c r="W57" s="668"/>
      <c r="X57" s="669"/>
      <c r="Y57" s="669"/>
      <c r="Z57" s="724"/>
    </row>
    <row r="58" spans="1:26" s="671" customFormat="1" ht="69" customHeight="1">
      <c r="B58" s="713">
        <f>B66+1</f>
        <v>53</v>
      </c>
      <c r="C58" s="714" t="str">
        <f t="shared" si="7"/>
        <v>VO-56</v>
      </c>
      <c r="D58" s="715">
        <v>46064</v>
      </c>
      <c r="E58" s="714"/>
      <c r="F58" s="833" t="s">
        <v>458</v>
      </c>
      <c r="G58" s="716"/>
      <c r="H58" s="714" t="s">
        <v>223</v>
      </c>
      <c r="I58" s="717"/>
      <c r="J58" s="717"/>
      <c r="K58" s="718"/>
      <c r="L58" s="719">
        <v>4531.74</v>
      </c>
      <c r="M58" s="719">
        <v>3817.54</v>
      </c>
      <c r="N58" s="720">
        <f t="shared" si="8"/>
        <v>3817.54</v>
      </c>
      <c r="O58" s="849" t="s">
        <v>244</v>
      </c>
      <c r="P58" s="721" t="s">
        <v>459</v>
      </c>
      <c r="Q58" s="721"/>
      <c r="R58" s="859" t="s">
        <v>372</v>
      </c>
      <c r="S58" s="722"/>
      <c r="T58" s="722"/>
      <c r="U58" s="723" t="str">
        <f>HYPERLINK("https://ksa1.aconex.com/MiniURL?type=MAILSEARCH&amp;mailbox=5&amp;pid=1342178882&amp;cid=1408945509","Open in Aconex")</f>
        <v>Open in Aconex</v>
      </c>
      <c r="V58" s="723"/>
      <c r="W58" s="668"/>
      <c r="X58" s="669"/>
      <c r="Y58" s="669"/>
      <c r="Z58" s="724"/>
    </row>
    <row r="59" spans="1:26" s="671" customFormat="1" ht="69" customHeight="1">
      <c r="B59" s="738">
        <f>B54+1</f>
        <v>44</v>
      </c>
      <c r="C59" s="739" t="str">
        <f t="shared" si="4"/>
        <v/>
      </c>
      <c r="D59" s="740"/>
      <c r="E59" s="739"/>
      <c r="F59" s="835" t="s">
        <v>431</v>
      </c>
      <c r="G59" s="741">
        <v>45439</v>
      </c>
      <c r="H59" s="739" t="s">
        <v>392</v>
      </c>
      <c r="I59" s="742" t="s">
        <v>432</v>
      </c>
      <c r="J59" s="742" t="s">
        <v>432</v>
      </c>
      <c r="K59" s="743"/>
      <c r="L59" s="744">
        <v>16678.63</v>
      </c>
      <c r="M59" s="744"/>
      <c r="N59" s="745">
        <v>16678.63</v>
      </c>
      <c r="O59" s="851" t="s">
        <v>247</v>
      </c>
      <c r="P59" s="746"/>
      <c r="Q59" s="746"/>
      <c r="R59" s="861" t="s">
        <v>355</v>
      </c>
      <c r="S59" s="747" t="s">
        <v>433</v>
      </c>
      <c r="T59" s="747"/>
      <c r="U59" s="748"/>
      <c r="V59" s="748" t="str">
        <f>HYPERLINK("https://ksa1.aconex.com/MiniURL?type=MAILSEARCH&amp;mailbox=5&amp;pid=1342178882&amp;cid=1374863685","View Submission")</f>
        <v>View Submission</v>
      </c>
      <c r="W59" s="684"/>
      <c r="X59" s="685"/>
      <c r="Y59" s="685"/>
      <c r="Z59" s="749" t="s">
        <v>310</v>
      </c>
    </row>
    <row r="60" spans="1:26" s="671" customFormat="1" ht="69" customHeight="1">
      <c r="B60" s="750">
        <f t="shared" si="5"/>
        <v>45</v>
      </c>
      <c r="C60" s="751" t="str">
        <f t="shared" si="4"/>
        <v/>
      </c>
      <c r="D60" s="752"/>
      <c r="E60" s="751"/>
      <c r="F60" s="836" t="s">
        <v>434</v>
      </c>
      <c r="G60" s="754">
        <v>45693</v>
      </c>
      <c r="H60" s="751" t="s">
        <v>392</v>
      </c>
      <c r="I60" s="755" t="s">
        <v>435</v>
      </c>
      <c r="J60" s="756" t="s">
        <v>435</v>
      </c>
      <c r="K60" s="757"/>
      <c r="L60" s="758">
        <v>95183.74</v>
      </c>
      <c r="M60" s="758"/>
      <c r="N60" s="759">
        <v>95183.74</v>
      </c>
      <c r="O60" s="852" t="s">
        <v>247</v>
      </c>
      <c r="P60" s="760"/>
      <c r="Q60" s="760"/>
      <c r="R60" s="862" t="s">
        <v>436</v>
      </c>
      <c r="S60" s="761">
        <v>0</v>
      </c>
      <c r="T60" s="761"/>
      <c r="U60" s="762"/>
      <c r="V60" s="762" t="str">
        <f>HYPERLINK("https://ksa1.aconex.com/MiniURL?type=MAILSEARCH&amp;mailbox=5&amp;pid=1342178882&amp;cid=1388081950","View Submission")</f>
        <v>View Submission</v>
      </c>
      <c r="W60" s="668"/>
      <c r="X60" s="669"/>
      <c r="Y60" s="669"/>
      <c r="Z60" s="763"/>
    </row>
    <row r="61" spans="1:26" s="671" customFormat="1" ht="69" customHeight="1">
      <c r="B61" s="738">
        <f t="shared" si="5"/>
        <v>46</v>
      </c>
      <c r="C61" s="739" t="str">
        <f t="shared" si="4"/>
        <v>VO-30</v>
      </c>
      <c r="D61" s="740">
        <v>45883</v>
      </c>
      <c r="E61" s="739"/>
      <c r="F61" s="835" t="s">
        <v>437</v>
      </c>
      <c r="G61" s="741">
        <v>45935</v>
      </c>
      <c r="H61" s="739" t="s">
        <v>223</v>
      </c>
      <c r="I61" s="742" t="s">
        <v>438</v>
      </c>
      <c r="J61" s="742" t="s">
        <v>438</v>
      </c>
      <c r="K61" s="743"/>
      <c r="L61" s="744">
        <v>58330.595153166701</v>
      </c>
      <c r="M61" s="744"/>
      <c r="N61" s="745">
        <v>58252.9</v>
      </c>
      <c r="O61" s="851" t="s">
        <v>247</v>
      </c>
      <c r="P61" s="746" t="s">
        <v>439</v>
      </c>
      <c r="Q61" s="746"/>
      <c r="R61" s="861" t="s">
        <v>440</v>
      </c>
      <c r="S61" s="747" t="s">
        <v>396</v>
      </c>
      <c r="T61" s="747"/>
      <c r="U61" s="748" t="str">
        <f>HYPERLINK("https://ksa1.aconex.com/MiniURL?type=MAILSEARCH&amp;mailbox=5&amp;pid=1342178882&amp;cid=1398151844","Open in Aconex")</f>
        <v>Open in Aconex</v>
      </c>
      <c r="V61" s="748" t="str">
        <f>HYPERLINK("https://ksa1.aconex.com/MiniURL?type=MAILSEARCH&amp;mailbox=5&amp;pid=1342178882&amp;cid=1401082531","View Submission")</f>
        <v>View Submission</v>
      </c>
      <c r="W61" s="684"/>
      <c r="X61" s="685"/>
      <c r="Y61" s="685"/>
      <c r="Z61" s="749"/>
    </row>
    <row r="62" spans="1:26" s="671" customFormat="1" ht="69" customHeight="1">
      <c r="B62" s="738">
        <f t="shared" si="5"/>
        <v>47</v>
      </c>
      <c r="C62" s="751" t="str">
        <f t="shared" si="4"/>
        <v>VO-31</v>
      </c>
      <c r="D62" s="752">
        <v>45833</v>
      </c>
      <c r="E62" s="751"/>
      <c r="F62" s="836" t="s">
        <v>441</v>
      </c>
      <c r="G62" s="754">
        <v>45922</v>
      </c>
      <c r="H62" s="751" t="s">
        <v>223</v>
      </c>
      <c r="I62" s="755" t="s">
        <v>442</v>
      </c>
      <c r="J62" s="756" t="s">
        <v>442</v>
      </c>
      <c r="K62" s="757"/>
      <c r="L62" s="758">
        <v>184530.84</v>
      </c>
      <c r="M62" s="758"/>
      <c r="N62" s="759">
        <v>184530.84</v>
      </c>
      <c r="O62" s="849" t="s">
        <v>247</v>
      </c>
      <c r="P62" s="760" t="s">
        <v>443</v>
      </c>
      <c r="Q62" s="760"/>
      <c r="R62" s="862" t="s">
        <v>444</v>
      </c>
      <c r="S62" s="761"/>
      <c r="T62" s="761"/>
      <c r="U62" s="762" t="str">
        <f>HYPERLINK("https://ksa1.aconex.com/MiniURL?type=MAILSEARCH&amp;mailbox=5&amp;pid=1342178882&amp;cid=1395263073","Open in Aconex")</f>
        <v>Open in Aconex</v>
      </c>
      <c r="V62" s="762" t="str">
        <f>HYPERLINK("https://ksa1.aconex.com/MiniURL?type=MAILSEARCH&amp;mailbox=5&amp;pid=1342178882&amp;cid=1400396848","View Submission")</f>
        <v>View Submission</v>
      </c>
      <c r="W62" s="668"/>
      <c r="X62" s="669"/>
      <c r="Y62" s="669"/>
      <c r="Z62" s="763" t="s">
        <v>337</v>
      </c>
    </row>
    <row r="63" spans="1:26" s="671" customFormat="1" ht="69" customHeight="1">
      <c r="A63" s="671">
        <v>2</v>
      </c>
      <c r="B63" s="738">
        <f t="shared" si="5"/>
        <v>48</v>
      </c>
      <c r="C63" s="739" t="str">
        <f t="shared" si="4"/>
        <v/>
      </c>
      <c r="D63" s="740"/>
      <c r="E63" s="739"/>
      <c r="F63" s="835" t="s">
        <v>445</v>
      </c>
      <c r="G63" s="741">
        <v>45970</v>
      </c>
      <c r="H63" s="739" t="s">
        <v>446</v>
      </c>
      <c r="I63" s="742" t="s">
        <v>447</v>
      </c>
      <c r="J63" s="742" t="s">
        <v>447</v>
      </c>
      <c r="K63" s="743"/>
      <c r="L63" s="744">
        <v>179556.66</v>
      </c>
      <c r="M63" s="744"/>
      <c r="N63" s="745">
        <v>179556.66</v>
      </c>
      <c r="O63" s="851" t="s">
        <v>247</v>
      </c>
      <c r="P63" s="746"/>
      <c r="Q63" s="746"/>
      <c r="R63" s="861" t="s">
        <v>448</v>
      </c>
      <c r="S63" s="747"/>
      <c r="T63" s="747"/>
      <c r="U63" s="748"/>
      <c r="V63" s="748" t="str">
        <f>HYPERLINK("https://ksa1.aconex.com/MiniURL?type=MAILSEARCH&amp;mailbox=5&amp;pid=1342178882&amp;cid=1403180133","View Submission")</f>
        <v>View Submission</v>
      </c>
      <c r="W63" s="684"/>
      <c r="X63" s="685"/>
      <c r="Y63" s="685"/>
      <c r="Z63" s="749"/>
    </row>
    <row r="64" spans="1:26" s="671" customFormat="1" ht="69" customHeight="1">
      <c r="B64" s="738">
        <f t="shared" si="5"/>
        <v>49</v>
      </c>
      <c r="C64" s="751" t="str">
        <f t="shared" si="4"/>
        <v/>
      </c>
      <c r="D64" s="752"/>
      <c r="E64" s="751"/>
      <c r="F64" s="836" t="s">
        <v>449</v>
      </c>
      <c r="G64" s="754">
        <v>46029</v>
      </c>
      <c r="H64" s="751" t="s">
        <v>446</v>
      </c>
      <c r="I64" s="755" t="s">
        <v>450</v>
      </c>
      <c r="J64" s="756" t="s">
        <v>450</v>
      </c>
      <c r="K64" s="757"/>
      <c r="L64" s="758">
        <v>30435.52</v>
      </c>
      <c r="M64" s="758"/>
      <c r="N64" s="759">
        <v>30435.52</v>
      </c>
      <c r="O64" s="851" t="s">
        <v>247</v>
      </c>
      <c r="P64" s="760"/>
      <c r="Q64" s="760"/>
      <c r="R64" s="862" t="s">
        <v>451</v>
      </c>
      <c r="S64" s="761"/>
      <c r="T64" s="761"/>
      <c r="U64" s="762"/>
      <c r="V64" s="762" t="str">
        <f>HYPERLINK("https://ksa1.aconex.com/MiniURL?type=MAILSEARCH&amp;mailbox=5&amp;pid=1342178882&amp;cid=1406814172","View Submission")</f>
        <v>View Submission</v>
      </c>
      <c r="W64" s="684"/>
      <c r="X64" s="685"/>
      <c r="Y64" s="685"/>
      <c r="Z64" s="763"/>
    </row>
    <row r="65" spans="2:26" s="671" customFormat="1" ht="69" customHeight="1">
      <c r="B65" s="738">
        <f>B64+1</f>
        <v>50</v>
      </c>
      <c r="C65" s="739" t="str">
        <f t="shared" si="4"/>
        <v>VO-46</v>
      </c>
      <c r="D65" s="740">
        <v>46004</v>
      </c>
      <c r="E65" s="739"/>
      <c r="F65" s="835" t="s">
        <v>452</v>
      </c>
      <c r="G65" s="741"/>
      <c r="H65" s="739" t="s">
        <v>223</v>
      </c>
      <c r="I65" s="742" t="s">
        <v>453</v>
      </c>
      <c r="J65" s="742" t="s">
        <v>453</v>
      </c>
      <c r="K65" s="743"/>
      <c r="L65" s="744">
        <v>3954.51</v>
      </c>
      <c r="M65" s="744"/>
      <c r="N65" s="745">
        <v>3954.51</v>
      </c>
      <c r="O65" s="849" t="s">
        <v>247</v>
      </c>
      <c r="P65" s="746" t="s">
        <v>454</v>
      </c>
      <c r="Q65" s="746"/>
      <c r="R65" s="861" t="s">
        <v>320</v>
      </c>
      <c r="S65" s="747" t="s">
        <v>396</v>
      </c>
      <c r="T65" s="747"/>
      <c r="U65" s="748" t="str">
        <f>HYPERLINK("https://ksa1.aconex.com/MiniURL?type=MAILSEARCH&amp;mailbox=5&amp;pid=1342178882&amp;cid=1405306067","Open in Aconex")</f>
        <v>Open in Aconex</v>
      </c>
      <c r="V65" s="748" t="str">
        <f>HYPERLINK("https://ksa1.aconex.com/MiniURL?type=MAILSEARCH&amp;mailbox=5&amp;pid=1342178882&amp;cid=1406105378","View Submission")</f>
        <v>View Submission</v>
      </c>
      <c r="W65" s="668"/>
      <c r="X65" s="669"/>
      <c r="Y65" s="669"/>
      <c r="Z65" s="749"/>
    </row>
    <row r="66" spans="2:26" s="671" customFormat="1" ht="69" customHeight="1">
      <c r="B66" s="738">
        <f>B57+1</f>
        <v>52</v>
      </c>
      <c r="C66" s="911" t="str">
        <f t="shared" si="4"/>
        <v>VO-54</v>
      </c>
      <c r="D66" s="912">
        <v>46062</v>
      </c>
      <c r="E66" s="739"/>
      <c r="F66" s="910" t="s">
        <v>455</v>
      </c>
      <c r="G66" s="741"/>
      <c r="H66" s="739" t="s">
        <v>223</v>
      </c>
      <c r="I66" s="742"/>
      <c r="J66" s="742"/>
      <c r="K66" s="743"/>
      <c r="L66" s="744"/>
      <c r="M66" s="744"/>
      <c r="N66" s="745"/>
      <c r="O66" s="849" t="s">
        <v>247</v>
      </c>
      <c r="P66" s="746" t="s">
        <v>456</v>
      </c>
      <c r="Q66" s="746"/>
      <c r="R66" s="909" t="s">
        <v>457</v>
      </c>
      <c r="S66" s="747"/>
      <c r="T66" s="747"/>
      <c r="U66" s="748" t="str">
        <f>HYPERLINK("https://ksa1.aconex.com/MiniURL?type=MAILSEARCH&amp;mailbox=5&amp;pid=1342178882&amp;cid=1408782805","Open in Aconex")</f>
        <v>Open in Aconex</v>
      </c>
      <c r="V66" s="748"/>
      <c r="W66" s="668"/>
      <c r="X66" s="669"/>
      <c r="Y66" s="669"/>
      <c r="Z66" s="749"/>
    </row>
    <row r="67" spans="2:26" s="671" customFormat="1" ht="69" customHeight="1">
      <c r="B67" s="738">
        <f>B58+1</f>
        <v>54</v>
      </c>
      <c r="C67" s="739" t="str">
        <f t="shared" si="4"/>
        <v/>
      </c>
      <c r="D67" s="740"/>
      <c r="E67" s="739"/>
      <c r="F67" s="835" t="s">
        <v>460</v>
      </c>
      <c r="G67" s="741" t="s">
        <v>461</v>
      </c>
      <c r="H67" s="739" t="s">
        <v>446</v>
      </c>
      <c r="I67" s="742" t="s">
        <v>462</v>
      </c>
      <c r="J67" s="742" t="s">
        <v>462</v>
      </c>
      <c r="K67" s="743"/>
      <c r="L67" s="744">
        <v>10279.02</v>
      </c>
      <c r="M67" s="744"/>
      <c r="N67" s="745">
        <f>L67</f>
        <v>10279.02</v>
      </c>
      <c r="O67" s="851" t="s">
        <v>247</v>
      </c>
      <c r="P67" s="746"/>
      <c r="Q67" s="746"/>
      <c r="R67" s="861" t="s">
        <v>463</v>
      </c>
      <c r="S67" s="747"/>
      <c r="T67" s="747"/>
      <c r="U67" s="748"/>
      <c r="V67" s="748" t="str">
        <f>HYPERLINK("https://ksa1.aconex.com/MiniURL?type=MAILSEARCH&amp;mailbox=5&amp;pid=1342178882&amp;cid=1409093108","View Submission")</f>
        <v>View Submission</v>
      </c>
      <c r="W67" s="684"/>
      <c r="X67" s="685"/>
      <c r="Y67" s="685"/>
      <c r="Z67" s="749"/>
    </row>
    <row r="68" spans="2:26" s="671" customFormat="1" ht="69" customHeight="1">
      <c r="B68" s="738">
        <f t="shared" si="5"/>
        <v>55</v>
      </c>
      <c r="C68" s="739" t="str">
        <f t="shared" si="4"/>
        <v/>
      </c>
      <c r="D68" s="740"/>
      <c r="E68" s="739"/>
      <c r="F68" s="835" t="s">
        <v>464</v>
      </c>
      <c r="G68" s="741">
        <v>45860</v>
      </c>
      <c r="H68" s="739" t="s">
        <v>392</v>
      </c>
      <c r="I68" s="742" t="s">
        <v>465</v>
      </c>
      <c r="J68" s="742" t="s">
        <v>465</v>
      </c>
      <c r="K68" s="743"/>
      <c r="L68" s="744">
        <v>1260532.47</v>
      </c>
      <c r="M68" s="744"/>
      <c r="N68" s="745">
        <f>L68</f>
        <v>1260532.47</v>
      </c>
      <c r="O68" s="851" t="s">
        <v>247</v>
      </c>
      <c r="P68" s="746"/>
      <c r="Q68" s="746"/>
      <c r="R68" s="861" t="s">
        <v>466</v>
      </c>
      <c r="S68" s="747">
        <v>0</v>
      </c>
      <c r="T68" s="747"/>
      <c r="U68" s="748"/>
      <c r="V68" s="748" t="str">
        <f>HYPERLINK("https://ksa1.aconex.com/MiniURL?type=MAILSEARCH&amp;mailbox=5&amp;pid=1342178882&amp;cid=1396815120","View Submission")</f>
        <v>View Submission</v>
      </c>
      <c r="W68" s="684"/>
      <c r="X68" s="685"/>
      <c r="Y68" s="685"/>
      <c r="Z68" s="749" t="s">
        <v>368</v>
      </c>
    </row>
    <row r="69" spans="2:26" s="671" customFormat="1" ht="69" customHeight="1">
      <c r="B69" s="738">
        <f t="shared" si="5"/>
        <v>56</v>
      </c>
      <c r="C69" s="751" t="str">
        <f t="shared" ref="C69:C70" si="9">LEFT(IFERROR("VO-"&amp;_xlfn.TEXTAFTER(P69,"-00"),""),5)</f>
        <v>VO-10</v>
      </c>
      <c r="D69" s="752">
        <v>46005</v>
      </c>
      <c r="E69" s="751"/>
      <c r="F69" s="836" t="s">
        <v>467</v>
      </c>
      <c r="G69" s="754"/>
      <c r="H69" s="751" t="s">
        <v>223</v>
      </c>
      <c r="I69" s="755"/>
      <c r="J69" s="756"/>
      <c r="K69" s="757"/>
      <c r="L69" s="758">
        <v>0</v>
      </c>
      <c r="M69" s="758"/>
      <c r="N69" s="759">
        <v>0</v>
      </c>
      <c r="O69" s="849" t="s">
        <v>247</v>
      </c>
      <c r="P69" s="760" t="s">
        <v>468</v>
      </c>
      <c r="Q69" s="760"/>
      <c r="R69" s="863" t="s">
        <v>469</v>
      </c>
      <c r="S69" s="761"/>
      <c r="T69" s="761"/>
      <c r="U69" s="762" t="str">
        <f>HYPERLINK("https://ksa1.aconex.com/MiniURL?type=MAILSEARCH&amp;mailbox=5&amp;pid=1342178882&amp;cid=1405359392","Open in Aconex")</f>
        <v>Open in Aconex</v>
      </c>
      <c r="V69" s="762"/>
      <c r="W69" s="668"/>
      <c r="X69" s="669"/>
      <c r="Y69" s="669"/>
      <c r="Z69" s="763"/>
    </row>
    <row r="70" spans="2:26" s="671" customFormat="1" ht="69" customHeight="1">
      <c r="B70" s="738">
        <f t="shared" si="5"/>
        <v>57</v>
      </c>
      <c r="C70" s="739" t="str">
        <f t="shared" si="9"/>
        <v>VO-61</v>
      </c>
      <c r="D70" s="740">
        <v>46127</v>
      </c>
      <c r="E70" s="739"/>
      <c r="F70" s="835" t="s">
        <v>470</v>
      </c>
      <c r="G70" s="741">
        <v>46127</v>
      </c>
      <c r="H70" s="739" t="s">
        <v>223</v>
      </c>
      <c r="I70" s="742"/>
      <c r="J70" s="742"/>
      <c r="K70" s="743"/>
      <c r="L70" s="744">
        <v>151955.28</v>
      </c>
      <c r="M70" s="744"/>
      <c r="N70" s="745">
        <f>L70</f>
        <v>151955.28</v>
      </c>
      <c r="O70" s="849" t="s">
        <v>247</v>
      </c>
      <c r="P70" s="746" t="s">
        <v>471</v>
      </c>
      <c r="Q70" s="746"/>
      <c r="R70" s="861"/>
      <c r="S70" s="747"/>
      <c r="T70" s="747"/>
      <c r="U70" s="748" t="str">
        <f>HYPERLINK("https://ksa1.aconex.com/MiniURL?type=MAILSEARCH&amp;mailbox=5&amp;pid=1342178882&amp;cid=1412190372","Open in Aconex")</f>
        <v>Open in Aconex</v>
      </c>
      <c r="V70" s="748"/>
      <c r="W70" s="668"/>
      <c r="X70" s="669"/>
      <c r="Y70" s="669"/>
      <c r="Z70" s="749"/>
    </row>
    <row r="71" spans="2:26" s="671" customFormat="1" ht="69" customHeight="1">
      <c r="B71" s="738">
        <f>B56+1</f>
        <v>59</v>
      </c>
      <c r="C71" s="739" t="str">
        <f t="shared" ref="C71:C76" si="10">LEFT(IFERROR("VO-"&amp;_xlfn.TEXTAFTER(P71,"-00"),""),5)</f>
        <v>VO-42</v>
      </c>
      <c r="D71" s="740">
        <v>46021</v>
      </c>
      <c r="E71" s="739"/>
      <c r="F71" s="838" t="s">
        <v>472</v>
      </c>
      <c r="G71" s="741">
        <v>45959</v>
      </c>
      <c r="H71" s="739" t="s">
        <v>223</v>
      </c>
      <c r="I71" s="764" t="s">
        <v>473</v>
      </c>
      <c r="J71" s="742" t="s">
        <v>473</v>
      </c>
      <c r="K71" s="743"/>
      <c r="L71" s="765">
        <v>664798.76</v>
      </c>
      <c r="M71" s="765"/>
      <c r="N71" s="745">
        <f t="shared" ref="N71:N75" si="11">L71</f>
        <v>664798.76</v>
      </c>
      <c r="O71" s="850" t="s">
        <v>247</v>
      </c>
      <c r="P71" s="746" t="s">
        <v>474</v>
      </c>
      <c r="Q71" s="746"/>
      <c r="R71" s="861" t="s">
        <v>475</v>
      </c>
      <c r="S71" s="747" t="s">
        <v>396</v>
      </c>
      <c r="T71" s="747"/>
      <c r="U71" s="748" t="str">
        <f>HYPERLINK("https://ksa1.aconex.com/MiniURL?type=MAILSEARCH&amp;mailbox=5&amp;pid=1342178882&amp;cid=1406394531","Open in Aconex")</f>
        <v>Open in Aconex</v>
      </c>
      <c r="V71" s="748" t="str">
        <f>HYPERLINK("https://ksa1.aconex.com/MiniURL?type=MAILSEARCH&amp;mailbox=5&amp;pid=1342178882&amp;cid=1402582443","View Submission")</f>
        <v>View Submission</v>
      </c>
      <c r="W71" s="684"/>
      <c r="X71" s="685"/>
      <c r="Y71" s="685"/>
      <c r="Z71" s="749"/>
    </row>
    <row r="72" spans="2:26" s="671" customFormat="1" ht="69" customHeight="1">
      <c r="B72" s="738">
        <f t="shared" si="5"/>
        <v>60</v>
      </c>
      <c r="C72" s="751" t="str">
        <f t="shared" si="10"/>
        <v>VO-48</v>
      </c>
      <c r="D72" s="752">
        <v>46035</v>
      </c>
      <c r="E72" s="751"/>
      <c r="F72" s="837" t="s">
        <v>476</v>
      </c>
      <c r="G72" s="754">
        <v>46069</v>
      </c>
      <c r="H72" s="751" t="s">
        <v>223</v>
      </c>
      <c r="I72" s="756" t="s">
        <v>477</v>
      </c>
      <c r="J72" s="756" t="s">
        <v>477</v>
      </c>
      <c r="K72" s="757"/>
      <c r="L72" s="753">
        <v>202867.91</v>
      </c>
      <c r="M72" s="753">
        <v>138185.75</v>
      </c>
      <c r="N72" s="759">
        <f t="shared" si="11"/>
        <v>202867.91</v>
      </c>
      <c r="O72" s="851" t="s">
        <v>247</v>
      </c>
      <c r="P72" s="760" t="s">
        <v>478</v>
      </c>
      <c r="Q72" s="760"/>
      <c r="R72" s="862" t="s">
        <v>423</v>
      </c>
      <c r="S72" s="761"/>
      <c r="T72" s="761"/>
      <c r="U72" s="762" t="str">
        <f>HYPERLINK("https://ksa1.aconex.com/MiniURL?type=MAILSEARCH&amp;mailbox=5&amp;pid=1342178882&amp;cid=1407208477","Open in Aconex")</f>
        <v>Open in Aconex</v>
      </c>
      <c r="V72" s="762" t="str">
        <f>HYPERLINK("https://ksa1.aconex.com/MiniURL?type=MAILSEARCH&amp;mailbox=5&amp;pid=1342178882&amp;cid=1409265321","View Submission")</f>
        <v>View Submission</v>
      </c>
      <c r="W72" s="684"/>
      <c r="X72" s="685"/>
      <c r="Y72" s="685"/>
      <c r="Z72" s="763" t="s">
        <v>411</v>
      </c>
    </row>
    <row r="73" spans="2:26" s="671" customFormat="1" ht="69" customHeight="1">
      <c r="B73" s="738">
        <f t="shared" si="5"/>
        <v>61</v>
      </c>
      <c r="C73" s="739" t="str">
        <f t="shared" si="10"/>
        <v>VO-65</v>
      </c>
      <c r="D73" s="740">
        <v>46149</v>
      </c>
      <c r="E73" s="739"/>
      <c r="F73" s="838" t="s">
        <v>479</v>
      </c>
      <c r="G73" s="741"/>
      <c r="H73" s="739" t="s">
        <v>223</v>
      </c>
      <c r="I73" s="764"/>
      <c r="J73" s="742"/>
      <c r="K73" s="743"/>
      <c r="L73" s="765">
        <v>2031.98</v>
      </c>
      <c r="M73" s="765"/>
      <c r="N73" s="745">
        <f t="shared" si="11"/>
        <v>2031.98</v>
      </c>
      <c r="O73" s="849" t="s">
        <v>247</v>
      </c>
      <c r="P73" s="746" t="s">
        <v>480</v>
      </c>
      <c r="Q73" s="746"/>
      <c r="R73" s="861" t="s">
        <v>481</v>
      </c>
      <c r="S73" s="747"/>
      <c r="T73" s="747"/>
      <c r="U73" s="748" t="str">
        <f>HYPERLINK("https://ksa1.aconex.com/hub/index.html?mainTarget=%2Frsrc%2F20260507.1116%2Fen_AU_DOC%2Fmail%2Fview%2Findex.html%231342178882%2F1413600513%3Fe2e%3Dnull", "Open in Aconex")</f>
        <v>Open in Aconex</v>
      </c>
      <c r="V73" s="748" t="str">
        <f>HYPERLINK("https://ksa1.aconex.com/hub/index.html?mainTarget=%2Frsrc%2F20260529.1112%2Fen_AU_DOC%2Fmail%2Fview%2Findex.html%231342178882%2F1415565823%3Fe2e%3Dnull","View Submission")</f>
        <v>View Submission</v>
      </c>
      <c r="W73" s="668"/>
      <c r="X73" s="669"/>
      <c r="Y73" s="669"/>
      <c r="Z73" s="749"/>
    </row>
    <row r="74" spans="2:26" s="671" customFormat="1" ht="69" customHeight="1">
      <c r="B74" s="738">
        <f t="shared" si="5"/>
        <v>62</v>
      </c>
      <c r="C74" s="751" t="str">
        <f t="shared" si="10"/>
        <v>VO-67</v>
      </c>
      <c r="D74" s="752">
        <v>46155</v>
      </c>
      <c r="E74" s="751"/>
      <c r="F74" s="837" t="s">
        <v>482</v>
      </c>
      <c r="G74" s="754"/>
      <c r="H74" s="751" t="s">
        <v>223</v>
      </c>
      <c r="I74" s="756"/>
      <c r="J74" s="756"/>
      <c r="K74" s="757"/>
      <c r="L74" s="753">
        <v>8175.31</v>
      </c>
      <c r="M74" s="753"/>
      <c r="N74" s="759">
        <f t="shared" si="11"/>
        <v>8175.31</v>
      </c>
      <c r="O74" s="849" t="s">
        <v>247</v>
      </c>
      <c r="P74" s="760" t="s">
        <v>483</v>
      </c>
      <c r="Q74" s="760"/>
      <c r="R74" s="862" t="s">
        <v>481</v>
      </c>
      <c r="S74" s="761"/>
      <c r="T74" s="761"/>
      <c r="U74" s="762" t="str">
        <f>HYPERLINK("https://ksa1.aconex.com/hub/index.html?mainTarget=%2Frsrc%2F20260507.1116%2Fen_AU_DOC%2Fmail%2Fview%2Findex.html%231342178882%2F1413968982%3Fe2e%3Dnull", "Open in Aconex")</f>
        <v>Open in Aconex</v>
      </c>
      <c r="V74" s="762" t="str">
        <f>HYPERLINK("https://ksa1.aconex.com/hub/index.html?mainTarget=%2Frsrc%2F20260529.1112%2Fen_AU_DOC%2Fmail%2Fview%2Findex.html%231342178882%2F1415562407%3Fe2e%3Dnull","View Submission")</f>
        <v>View Submission</v>
      </c>
      <c r="W74" s="668"/>
      <c r="X74" s="669"/>
      <c r="Y74" s="669"/>
      <c r="Z74" s="763"/>
    </row>
    <row r="75" spans="2:26" s="671" customFormat="1" ht="69" customHeight="1">
      <c r="B75" s="738">
        <f t="shared" si="5"/>
        <v>63</v>
      </c>
      <c r="C75" s="739" t="str">
        <f t="shared" si="10"/>
        <v>VO-47</v>
      </c>
      <c r="D75" s="740">
        <v>46035</v>
      </c>
      <c r="E75" s="739"/>
      <c r="F75" s="838" t="s">
        <v>484</v>
      </c>
      <c r="G75" s="741"/>
      <c r="H75" s="739" t="s">
        <v>223</v>
      </c>
      <c r="I75" s="764"/>
      <c r="J75" s="742"/>
      <c r="K75" s="743"/>
      <c r="L75" s="765">
        <v>25415.75</v>
      </c>
      <c r="M75" s="765"/>
      <c r="N75" s="745">
        <f t="shared" si="11"/>
        <v>25415.75</v>
      </c>
      <c r="O75" s="851" t="s">
        <v>247</v>
      </c>
      <c r="P75" s="746" t="s">
        <v>485</v>
      </c>
      <c r="Q75" s="746"/>
      <c r="R75" s="864" t="s">
        <v>486</v>
      </c>
      <c r="S75" s="747"/>
      <c r="T75" s="747"/>
      <c r="U75" s="748" t="str">
        <f>HYPERLINK("https://ksa1.aconex.com/MiniURL?type=MAILSEARCH&amp;mailbox=5&amp;pid=1342178882&amp;cid=1407210002","Open in Aconex")</f>
        <v>Open in Aconex</v>
      </c>
      <c r="V75" s="748"/>
      <c r="W75" s="684"/>
      <c r="X75" s="685"/>
      <c r="Y75" s="685"/>
      <c r="Z75" s="749"/>
    </row>
    <row r="76" spans="2:26" s="671" customFormat="1" ht="69" customHeight="1">
      <c r="B76" s="738">
        <f t="shared" si="5"/>
        <v>64</v>
      </c>
      <c r="C76" s="751" t="str">
        <f t="shared" si="10"/>
        <v>VO-66</v>
      </c>
      <c r="D76" s="752">
        <v>46139</v>
      </c>
      <c r="E76" s="751"/>
      <c r="F76" s="837" t="s">
        <v>487</v>
      </c>
      <c r="G76" s="754"/>
      <c r="H76" s="751" t="s">
        <v>223</v>
      </c>
      <c r="I76" s="756"/>
      <c r="J76" s="756"/>
      <c r="K76" s="757"/>
      <c r="L76" s="753">
        <v>1730.5419999999999</v>
      </c>
      <c r="M76" s="753"/>
      <c r="N76" s="759">
        <f>L76</f>
        <v>1730.5419999999999</v>
      </c>
      <c r="O76" s="849" t="s">
        <v>247</v>
      </c>
      <c r="P76" s="766" t="s">
        <v>488</v>
      </c>
      <c r="Q76" s="766"/>
      <c r="R76" s="865" t="s">
        <v>489</v>
      </c>
      <c r="S76" s="767"/>
      <c r="T76" s="767"/>
      <c r="U76" s="768" t="str">
        <f>HYPERLINK("https://ksa1.aconex.com/hub/index.html?mainTarget=%2Frsrc%2F20260507.1116%2Fen_AU_DOC%2Fmail%2Fview%2Findex.html%231342178882%2F1412910363%3Fe2e%3Dnull", "Open in Aconex")</f>
        <v>Open in Aconex</v>
      </c>
      <c r="V76" s="768"/>
      <c r="W76" s="668"/>
      <c r="X76" s="669"/>
      <c r="Y76" s="669"/>
      <c r="Z76" s="769"/>
    </row>
    <row r="77" spans="2:26" s="671" customFormat="1" ht="69" customHeight="1">
      <c r="B77" s="738">
        <f t="shared" si="5"/>
        <v>65</v>
      </c>
      <c r="C77" s="739" t="s">
        <v>490</v>
      </c>
      <c r="D77" s="740">
        <v>46139</v>
      </c>
      <c r="E77" s="739"/>
      <c r="F77" s="838" t="s">
        <v>491</v>
      </c>
      <c r="G77" s="741"/>
      <c r="H77" s="739" t="s">
        <v>223</v>
      </c>
      <c r="I77" s="764"/>
      <c r="J77" s="742"/>
      <c r="K77" s="743"/>
      <c r="L77" s="765">
        <v>-17453.266</v>
      </c>
      <c r="M77" s="765"/>
      <c r="N77" s="745">
        <f>L77</f>
        <v>-17453.266</v>
      </c>
      <c r="O77" s="849" t="s">
        <v>247</v>
      </c>
      <c r="P77" s="760"/>
      <c r="Q77" s="760"/>
      <c r="R77" s="862" t="s">
        <v>492</v>
      </c>
      <c r="S77" s="761"/>
      <c r="T77" s="761"/>
      <c r="U77" s="762" t="str">
        <f>HYPERLINK("https://ksa1.aconex.com/hub/index.html?mainTarget=%2Frsrc%2F20260529.1112%2Fen_AU_DOC%2Fmail%2Fview%2Findex.html%231342178882%2F1414753370%3Fe2e%3Dnull", "Open in Aconex")</f>
        <v>Open in Aconex</v>
      </c>
      <c r="V77" s="762"/>
      <c r="W77" s="668"/>
      <c r="X77" s="669"/>
      <c r="Y77" s="669"/>
      <c r="Z77" s="763"/>
    </row>
    <row r="78" spans="2:26" s="671" customFormat="1" ht="69" customHeight="1">
      <c r="B78" s="738">
        <f>B83+1</f>
        <v>71</v>
      </c>
      <c r="C78" s="751" t="str">
        <f>LEFT(IFERROR("VO-"&amp;_xlfn.TEXTAFTER(P78,"-00"),""),5)</f>
        <v>VO-37</v>
      </c>
      <c r="D78" s="752">
        <v>45938</v>
      </c>
      <c r="E78" s="751"/>
      <c r="F78" s="837" t="s">
        <v>493</v>
      </c>
      <c r="G78" s="754"/>
      <c r="H78" s="751" t="s">
        <v>223</v>
      </c>
      <c r="I78" s="756"/>
      <c r="J78" s="756"/>
      <c r="K78" s="757"/>
      <c r="L78" s="753">
        <v>111029.026050532</v>
      </c>
      <c r="M78" s="753"/>
      <c r="N78" s="745">
        <f>L78</f>
        <v>111029.026050532</v>
      </c>
      <c r="O78" s="849" t="s">
        <v>247</v>
      </c>
      <c r="P78" s="766" t="s">
        <v>494</v>
      </c>
      <c r="Q78" s="766"/>
      <c r="R78" s="865" t="s">
        <v>495</v>
      </c>
      <c r="S78" s="767"/>
      <c r="T78" s="767"/>
      <c r="U78" s="768" t="str">
        <f>HYPERLINK("https://ksa1.aconex.com/MiniURL?type=MAILSEARCH&amp;mailbox=5&amp;pid=1342178882&amp;cid=1401321910","Open in Aconex")</f>
        <v>Open in Aconex</v>
      </c>
      <c r="V78" s="768"/>
      <c r="W78" s="668"/>
      <c r="X78" s="669"/>
      <c r="Y78" s="669"/>
      <c r="Z78" s="769"/>
    </row>
    <row r="79" spans="2:26" s="671" customFormat="1" ht="69" customHeight="1">
      <c r="B79" s="738">
        <f>B90+1</f>
        <v>79</v>
      </c>
      <c r="C79" s="751" t="str">
        <f>LEFT(IFERROR("VO-"&amp;_xlfn.TEXTAFTER(P79,"-00"),""),5)</f>
        <v>VO-74</v>
      </c>
      <c r="D79" s="752">
        <v>46212</v>
      </c>
      <c r="E79" s="751"/>
      <c r="F79" s="837" t="s">
        <v>525</v>
      </c>
      <c r="G79" s="754"/>
      <c r="H79" s="751"/>
      <c r="I79" s="756"/>
      <c r="J79" s="756"/>
      <c r="K79" s="757"/>
      <c r="L79" s="753">
        <v>624.42606000000001</v>
      </c>
      <c r="M79" s="753"/>
      <c r="N79" s="745">
        <f>L79</f>
        <v>624.42606000000001</v>
      </c>
      <c r="O79" s="849" t="s">
        <v>247</v>
      </c>
      <c r="P79" s="766" t="s">
        <v>526</v>
      </c>
      <c r="Q79" s="766"/>
      <c r="R79" s="865" t="s">
        <v>586</v>
      </c>
      <c r="S79" s="767"/>
      <c r="T79" s="767"/>
      <c r="U79" s="768" t="str">
        <f>HYPERLINK("https://ksa1.aconex.com/hub/index.html?mainTarget=%2Frsrc%2F20260702.0843%2Fen_AU_DOC%2Fmail%2Fview%2Findex.html%231342178882%2F1417099489%3Fe2e%3Dnull","Open in Aconex")</f>
        <v>Open in Aconex</v>
      </c>
      <c r="V79" s="768"/>
      <c r="W79" s="668"/>
      <c r="X79" s="669"/>
      <c r="Y79" s="669"/>
      <c r="Z79" s="769"/>
    </row>
    <row r="80" spans="2:26" s="671" customFormat="1" ht="69" customHeight="1">
      <c r="B80" s="738">
        <f>B79+1</f>
        <v>80</v>
      </c>
      <c r="C80" s="751" t="str">
        <f>LEFT(IFERROR("VO-"&amp;_xlfn.TEXTAFTER(P80,"-00"),""),5)</f>
        <v>VO-77</v>
      </c>
      <c r="D80" s="752">
        <v>46212</v>
      </c>
      <c r="E80" s="751"/>
      <c r="F80" s="837" t="s">
        <v>527</v>
      </c>
      <c r="G80" s="754"/>
      <c r="H80" s="751"/>
      <c r="I80" s="756"/>
      <c r="J80" s="756"/>
      <c r="K80" s="757"/>
      <c r="L80" s="753">
        <v>955.56</v>
      </c>
      <c r="M80" s="753"/>
      <c r="N80" s="745">
        <f>L80</f>
        <v>955.56</v>
      </c>
      <c r="O80" s="849" t="s">
        <v>247</v>
      </c>
      <c r="P80" s="766" t="s">
        <v>528</v>
      </c>
      <c r="Q80" s="766"/>
      <c r="R80" s="865" t="s">
        <v>586</v>
      </c>
      <c r="S80" s="767"/>
      <c r="T80" s="767"/>
      <c r="U80" s="768" t="str">
        <f>HYPERLINK("https://ksa1.aconex.com/hub/index.html?mainTarget=%2Frsrc%2F20260702.0843%2Fen_AU_DOC%2Fmail%2Fview%2Findex.html%231342178882%2F1417098862%3Fe2e%3Dnull","Open in Aconex")</f>
        <v>Open in Aconex</v>
      </c>
      <c r="V80" s="768"/>
      <c r="W80" s="668"/>
      <c r="X80" s="669"/>
      <c r="Y80" s="669"/>
      <c r="Z80" s="769"/>
    </row>
    <row r="81" spans="2:26" s="671" customFormat="1" ht="69" customHeight="1">
      <c r="B81" s="770">
        <f>B32+1</f>
        <v>68</v>
      </c>
      <c r="C81" s="771" t="str">
        <f t="shared" si="4"/>
        <v/>
      </c>
      <c r="D81" s="772"/>
      <c r="E81" s="771"/>
      <c r="F81" s="839" t="s">
        <v>496</v>
      </c>
      <c r="G81" s="773" t="s">
        <v>497</v>
      </c>
      <c r="H81" s="771" t="s">
        <v>392</v>
      </c>
      <c r="I81" s="774" t="s">
        <v>498</v>
      </c>
      <c r="J81" s="774" t="s">
        <v>498</v>
      </c>
      <c r="K81" s="775"/>
      <c r="L81" s="776">
        <f>3010759.61</f>
        <v>3010759.61</v>
      </c>
      <c r="M81" s="776">
        <v>395793.54315183399</v>
      </c>
      <c r="N81" s="777">
        <f>L81/2</f>
        <v>1505379.8049999999</v>
      </c>
      <c r="O81" s="853" t="s">
        <v>253</v>
      </c>
      <c r="P81" s="778"/>
      <c r="Q81" s="778"/>
      <c r="R81" s="866" t="s">
        <v>499</v>
      </c>
      <c r="S81" s="779" t="s">
        <v>336</v>
      </c>
      <c r="T81" s="779"/>
      <c r="U81" s="780"/>
      <c r="V81" s="780" t="str">
        <f>HYPERLINK("https://ksa1.aconex.com/MiniURL?type=MAILSEARCH&amp;mailbox=5&amp;pid=1342178882&amp;cid=1380727527","View Submission")</f>
        <v>View Submission</v>
      </c>
      <c r="W81" s="684"/>
      <c r="X81" s="685"/>
      <c r="Y81" s="685"/>
      <c r="Z81" s="781"/>
    </row>
    <row r="82" spans="2:26" s="671" customFormat="1" ht="69" customHeight="1">
      <c r="B82" s="782">
        <f t="shared" ref="B82:B83" si="12">B81+1</f>
        <v>69</v>
      </c>
      <c r="C82" s="783" t="str">
        <f t="shared" si="4"/>
        <v>VO-05</v>
      </c>
      <c r="D82" s="784"/>
      <c r="E82" s="783"/>
      <c r="F82" s="840" t="s">
        <v>500</v>
      </c>
      <c r="G82" s="785">
        <v>45706</v>
      </c>
      <c r="H82" s="783" t="s">
        <v>223</v>
      </c>
      <c r="I82" s="786" t="s">
        <v>501</v>
      </c>
      <c r="J82" s="787" t="s">
        <v>502</v>
      </c>
      <c r="K82" s="788">
        <v>45755</v>
      </c>
      <c r="L82" s="789">
        <v>304785.68</v>
      </c>
      <c r="M82" s="789">
        <v>74452.02</v>
      </c>
      <c r="N82" s="790">
        <f>L82</f>
        <v>304785.68</v>
      </c>
      <c r="O82" s="851" t="s">
        <v>253</v>
      </c>
      <c r="P82" s="791" t="s">
        <v>243</v>
      </c>
      <c r="Q82" s="791"/>
      <c r="R82" s="867" t="s">
        <v>503</v>
      </c>
      <c r="S82" s="792" t="s">
        <v>229</v>
      </c>
      <c r="T82" s="792"/>
      <c r="U82" s="793" t="str">
        <f>HYPERLINK("https://ksa1.aconex.com/MiniURL?type=MAILSEARCH&amp;mailbox=5&amp;pid=1342178882&amp;cid=1374600277","Open in Aconex")</f>
        <v>Open in Aconex</v>
      </c>
      <c r="V82" s="793" t="str">
        <f>HYPERLINK("https://ksa1.aconex.com/MiniURL?type=MAILSEARCH&amp;mailbox=5&amp;pid=1342178882&amp;cid=1380154779","View Submission")</f>
        <v>View Submission</v>
      </c>
      <c r="W82" s="684"/>
      <c r="X82" s="685"/>
      <c r="Y82" s="685"/>
      <c r="Z82" s="794" t="s">
        <v>368</v>
      </c>
    </row>
    <row r="83" spans="2:26" s="671" customFormat="1" ht="69" customHeight="1">
      <c r="B83" s="770">
        <f t="shared" si="12"/>
        <v>70</v>
      </c>
      <c r="C83" s="771" t="str">
        <f t="shared" si="4"/>
        <v>VO-41</v>
      </c>
      <c r="D83" s="772">
        <v>45994</v>
      </c>
      <c r="E83" s="771"/>
      <c r="F83" s="839" t="s">
        <v>504</v>
      </c>
      <c r="G83" s="773">
        <v>45981</v>
      </c>
      <c r="H83" s="771" t="s">
        <v>392</v>
      </c>
      <c r="I83" s="774" t="s">
        <v>505</v>
      </c>
      <c r="J83" s="774" t="s">
        <v>505</v>
      </c>
      <c r="K83" s="775"/>
      <c r="L83" s="776">
        <v>3423318.95</v>
      </c>
      <c r="M83" s="776">
        <v>1546467.67</v>
      </c>
      <c r="N83" s="777">
        <f>L83</f>
        <v>3423318.95</v>
      </c>
      <c r="O83" s="851" t="s">
        <v>253</v>
      </c>
      <c r="P83" s="778" t="s">
        <v>506</v>
      </c>
      <c r="Q83" s="778"/>
      <c r="R83" s="866" t="s">
        <v>503</v>
      </c>
      <c r="S83" s="779"/>
      <c r="T83" s="779"/>
      <c r="U83" s="780" t="str">
        <f>HYPERLINK("https://ksa1.aconex.com/MiniURL?type=MAILSEARCH&amp;mailbox=5&amp;pid=1342178882&amp;cid=1404702913","Open in Aconex")</f>
        <v>Open in Aconex</v>
      </c>
      <c r="V83" s="780" t="str">
        <f>HYPERLINK("https://ksa1.aconex.com/MiniURL?type=MAILSEARCH&amp;mailbox=5&amp;pid=1342178882&amp;cid=1403915933","View Submission")</f>
        <v>View Submission</v>
      </c>
      <c r="W83" s="684"/>
      <c r="X83" s="685"/>
      <c r="Y83" s="685"/>
      <c r="Z83" s="781" t="s">
        <v>304</v>
      </c>
    </row>
    <row r="84" spans="2:26" s="671" customFormat="1" ht="69" customHeight="1">
      <c r="B84" s="795">
        <f>B78+1</f>
        <v>72</v>
      </c>
      <c r="C84" s="807" t="str">
        <f t="shared" si="4"/>
        <v/>
      </c>
      <c r="D84" s="808"/>
      <c r="E84" s="807"/>
      <c r="F84" s="841" t="s">
        <v>507</v>
      </c>
      <c r="G84" s="809">
        <v>45861</v>
      </c>
      <c r="H84" s="807" t="s">
        <v>392</v>
      </c>
      <c r="I84" s="810" t="s">
        <v>508</v>
      </c>
      <c r="J84" s="811" t="s">
        <v>508</v>
      </c>
      <c r="K84" s="812"/>
      <c r="L84" s="813">
        <v>1451263.73</v>
      </c>
      <c r="M84" s="813"/>
      <c r="N84" s="814">
        <f>L84</f>
        <v>1451263.73</v>
      </c>
      <c r="O84" s="849" t="s">
        <v>253</v>
      </c>
      <c r="P84" s="766"/>
      <c r="Q84" s="766"/>
      <c r="R84" s="881" t="s">
        <v>509</v>
      </c>
      <c r="S84" s="767">
        <v>0</v>
      </c>
      <c r="T84" s="767"/>
      <c r="U84" s="768"/>
      <c r="V84" s="768" t="str">
        <f>HYPERLINK("https://ksa1.aconex.com/MiniURL?type=MAILSEARCH&amp;mailbox=5&amp;pid=1342178882&amp;cid=1396856609","View Submission")</f>
        <v>View Submission</v>
      </c>
      <c r="W84" s="668"/>
      <c r="X84" s="669"/>
      <c r="Y84" s="669"/>
      <c r="Z84" s="769" t="s">
        <v>310</v>
      </c>
    </row>
    <row r="85" spans="2:26" s="671" customFormat="1" ht="69" customHeight="1">
      <c r="B85" s="795">
        <f t="shared" ref="B85:B90" si="13">B84+1</f>
        <v>73</v>
      </c>
      <c r="C85" s="796" t="str">
        <f t="shared" ref="C85:C94" si="14">LEFT(IFERROR("VO-"&amp;_xlfn.TEXTAFTER(P85,"-00"),""),5)</f>
        <v>VO-60</v>
      </c>
      <c r="D85" s="797">
        <v>46092</v>
      </c>
      <c r="E85" s="796"/>
      <c r="F85" s="842" t="s">
        <v>510</v>
      </c>
      <c r="G85" s="798">
        <v>46092</v>
      </c>
      <c r="H85" s="796" t="s">
        <v>223</v>
      </c>
      <c r="I85" s="799"/>
      <c r="J85" s="799"/>
      <c r="K85" s="800"/>
      <c r="L85" s="801"/>
      <c r="M85" s="801"/>
      <c r="N85" s="802"/>
      <c r="O85" s="851" t="s">
        <v>259</v>
      </c>
      <c r="P85" s="803" t="s">
        <v>511</v>
      </c>
      <c r="Q85" s="803"/>
      <c r="R85" s="907" t="s">
        <v>512</v>
      </c>
      <c r="S85" s="804"/>
      <c r="T85" s="804"/>
      <c r="U85" s="805" t="str">
        <f>HYPERLINK("https://ksa1.aconex.com/MiniURL?type=MAILSEARCH&amp;mailbox=5&amp;pid=1342178882&amp;cid=1410505882","Open in Aconex")</f>
        <v>Open in Aconex</v>
      </c>
      <c r="V85" s="805"/>
      <c r="W85" s="684"/>
      <c r="X85" s="685"/>
      <c r="Y85" s="685"/>
      <c r="Z85" s="806"/>
    </row>
    <row r="86" spans="2:26" s="671" customFormat="1" ht="69" customHeight="1">
      <c r="B86" s="795">
        <f t="shared" si="13"/>
        <v>74</v>
      </c>
      <c r="C86" s="807" t="str">
        <f t="shared" si="14"/>
        <v>VO-62</v>
      </c>
      <c r="D86" s="808">
        <v>46111</v>
      </c>
      <c r="E86" s="807"/>
      <c r="F86" s="841" t="s">
        <v>513</v>
      </c>
      <c r="G86" s="809">
        <v>46111</v>
      </c>
      <c r="H86" s="807" t="s">
        <v>223</v>
      </c>
      <c r="I86" s="810"/>
      <c r="J86" s="811"/>
      <c r="K86" s="812"/>
      <c r="L86" s="813"/>
      <c r="M86" s="813"/>
      <c r="N86" s="814"/>
      <c r="O86" s="851" t="s">
        <v>259</v>
      </c>
      <c r="P86" s="766" t="s">
        <v>514</v>
      </c>
      <c r="Q86" s="766"/>
      <c r="R86" s="908" t="s">
        <v>515</v>
      </c>
      <c r="S86" s="767"/>
      <c r="T86" s="767"/>
      <c r="U86" s="768" t="str">
        <f>HYPERLINK("https://ksa1.aconex.com/MiniURL?type=MAILSEARCH&amp;mailbox=5&amp;pid=1342178882&amp;cid=1411188093","Open in Aconex")</f>
        <v>Open in Aconex</v>
      </c>
      <c r="V86" s="768"/>
      <c r="W86" s="684"/>
      <c r="X86" s="685"/>
      <c r="Y86" s="685"/>
      <c r="Z86" s="769"/>
    </row>
    <row r="87" spans="2:26" s="671" customFormat="1" ht="69" customHeight="1">
      <c r="B87" s="795">
        <f t="shared" si="13"/>
        <v>75</v>
      </c>
      <c r="C87" s="796" t="str">
        <f t="shared" si="14"/>
        <v>VO-64</v>
      </c>
      <c r="D87" s="797">
        <v>46110</v>
      </c>
      <c r="E87" s="796"/>
      <c r="F87" s="842" t="s">
        <v>516</v>
      </c>
      <c r="G87" s="798">
        <v>46110</v>
      </c>
      <c r="H87" s="796" t="s">
        <v>223</v>
      </c>
      <c r="I87" s="799"/>
      <c r="J87" s="799"/>
      <c r="K87" s="800"/>
      <c r="L87" s="801"/>
      <c r="M87" s="801"/>
      <c r="N87" s="802"/>
      <c r="O87" s="851" t="s">
        <v>259</v>
      </c>
      <c r="P87" s="803" t="s">
        <v>517</v>
      </c>
      <c r="Q87" s="803"/>
      <c r="R87" s="907" t="s">
        <v>518</v>
      </c>
      <c r="S87" s="804"/>
      <c r="T87" s="804"/>
      <c r="U87" s="805" t="str">
        <f>HYPERLINK("https://ksa1.aconex.com/MiniURL?type=MAILSEARCH&amp;mailbox=5&amp;pid=1342178882&amp;cid=1411122821","Open in Aconex")</f>
        <v>Open in Aconex</v>
      </c>
      <c r="V87" s="805"/>
      <c r="W87" s="684"/>
      <c r="X87" s="685"/>
      <c r="Y87" s="685"/>
      <c r="Z87" s="806"/>
    </row>
    <row r="88" spans="2:26" s="671" customFormat="1" ht="69" customHeight="1">
      <c r="B88" s="795">
        <f t="shared" si="13"/>
        <v>76</v>
      </c>
      <c r="C88" s="807" t="str">
        <f t="shared" si="14"/>
        <v>VO-69</v>
      </c>
      <c r="D88" s="808">
        <v>46195</v>
      </c>
      <c r="E88" s="807"/>
      <c r="F88" s="841" t="s">
        <v>519</v>
      </c>
      <c r="G88" s="809"/>
      <c r="H88" s="807"/>
      <c r="I88" s="810"/>
      <c r="J88" s="811"/>
      <c r="K88" s="812"/>
      <c r="L88" s="813"/>
      <c r="M88" s="813"/>
      <c r="N88" s="814"/>
      <c r="O88" s="851" t="s">
        <v>259</v>
      </c>
      <c r="P88" s="766" t="s">
        <v>520</v>
      </c>
      <c r="Q88" s="766"/>
      <c r="R88" s="908" t="str">
        <f>"‼️ NEW VOR found on Aconex ("&amp;TEXT(D88,"dd-mmm-yyyy")&amp;") — FFC to submit Cost Proposal Asked information from site team abdul muti  he told he will give the details following up"</f>
        <v>‼️ NEW VOR found on Aconex (22-Jun-2026) — FFC to submit Cost Proposal Asked information from site team abdul muti  he told he will give the details following up</v>
      </c>
      <c r="S88" s="767"/>
      <c r="T88" s="767"/>
      <c r="U88" s="768" t="str">
        <f>HYPERLINK("https://ksa1.aconex.com/hub/index.html?mainTarget=%2Frsrc%2F20260529.1112%2Fen_AU_DOC%2Fmail%2Fview%2Findex.html%231342178882%2F1415995373%3Fe2e%3Dnull","Open in Aconex")</f>
        <v>Open in Aconex</v>
      </c>
      <c r="V88" s="768"/>
      <c r="W88" s="684"/>
      <c r="X88" s="685"/>
      <c r="Y88" s="685"/>
      <c r="Z88" s="769"/>
    </row>
    <row r="89" spans="2:26" s="671" customFormat="1" ht="69" customHeight="1">
      <c r="B89" s="795">
        <f t="shared" si="13"/>
        <v>77</v>
      </c>
      <c r="C89" s="796" t="str">
        <f t="shared" si="14"/>
        <v>VO-68</v>
      </c>
      <c r="D89" s="797">
        <v>46212</v>
      </c>
      <c r="E89" s="796"/>
      <c r="F89" s="842" t="s">
        <v>521</v>
      </c>
      <c r="G89" s="798"/>
      <c r="H89" s="796"/>
      <c r="I89" s="799"/>
      <c r="J89" s="799"/>
      <c r="K89" s="800"/>
      <c r="L89" s="801"/>
      <c r="M89" s="801"/>
      <c r="N89" s="802"/>
      <c r="O89" s="851" t="s">
        <v>259</v>
      </c>
      <c r="P89" s="803" t="s">
        <v>522</v>
      </c>
      <c r="Q89" s="803"/>
      <c r="R89" s="882" t="str">
        <f t="shared" ref="R89:R91" si="15">"‼️ NEW VOR found on Aconex ("&amp;TEXT(D89,"dd-mmm-yyyy")&amp;") — FFC to submit Cost Proposal"</f>
        <v>‼️ NEW VOR found on Aconex (09-Jul-2026) — FFC to submit Cost Proposal</v>
      </c>
      <c r="S89" s="804"/>
      <c r="T89" s="804"/>
      <c r="U89" s="805" t="str">
        <f>HYPERLINK("https://ksa1.aconex.com/hub/index.html?mainTarget=%2Frsrc%2F20260702.0843%2Fen_AU_DOC%2Fmail%2Fview%2Findex.html%231342178882%2F1417043716%3Fe2e%3Dnull","Open in Aconex")</f>
        <v>Open in Aconex</v>
      </c>
      <c r="V89" s="805"/>
      <c r="W89" s="684"/>
      <c r="X89" s="685"/>
      <c r="Y89" s="685"/>
      <c r="Z89" s="806"/>
    </row>
    <row r="90" spans="2:26" s="671" customFormat="1" ht="69" customHeight="1">
      <c r="B90" s="795">
        <f t="shared" si="13"/>
        <v>78</v>
      </c>
      <c r="C90" s="807" t="str">
        <f t="shared" si="14"/>
        <v>VO-70</v>
      </c>
      <c r="D90" s="808">
        <v>46209</v>
      </c>
      <c r="E90" s="807"/>
      <c r="F90" s="841" t="s">
        <v>523</v>
      </c>
      <c r="G90" s="809"/>
      <c r="H90" s="807"/>
      <c r="I90" s="810"/>
      <c r="J90" s="811"/>
      <c r="K90" s="812"/>
      <c r="L90" s="813"/>
      <c r="M90" s="813"/>
      <c r="N90" s="814"/>
      <c r="O90" s="851" t="s">
        <v>259</v>
      </c>
      <c r="P90" s="766" t="s">
        <v>524</v>
      </c>
      <c r="Q90" s="766"/>
      <c r="R90" s="883" t="str">
        <f t="shared" si="15"/>
        <v>‼️ NEW VOR found on Aconex (06-Jul-2026) — FFC to submit Cost Proposal</v>
      </c>
      <c r="S90" s="767"/>
      <c r="T90" s="767"/>
      <c r="U90" s="768" t="str">
        <f>HYPERLINK("https://ksa1.aconex.com/hub/index.html?mainTarget=%2Frsrc%2F20260702.0843%2Fen_AU_DOC%2Fmail%2Fview%2Findex.html%231342178882%2F1416810974%3Fe2e%3Dnull","Open in Aconex")</f>
        <v>Open in Aconex</v>
      </c>
      <c r="V90" s="768"/>
      <c r="W90" s="684"/>
      <c r="X90" s="685"/>
      <c r="Y90" s="685"/>
      <c r="Z90" s="769"/>
    </row>
    <row r="91" spans="2:26" s="671" customFormat="1" ht="69" customHeight="1">
      <c r="B91" s="795">
        <f>B80+1</f>
        <v>81</v>
      </c>
      <c r="C91" s="796" t="str">
        <f t="shared" si="14"/>
        <v>VO-80</v>
      </c>
      <c r="D91" s="797">
        <v>46212</v>
      </c>
      <c r="E91" s="796"/>
      <c r="F91" s="842" t="s">
        <v>529</v>
      </c>
      <c r="G91" s="798"/>
      <c r="H91" s="796"/>
      <c r="I91" s="799"/>
      <c r="J91" s="799"/>
      <c r="K91" s="800"/>
      <c r="L91" s="801"/>
      <c r="M91" s="801"/>
      <c r="N91" s="802"/>
      <c r="O91" s="851" t="s">
        <v>259</v>
      </c>
      <c r="P91" s="803" t="s">
        <v>530</v>
      </c>
      <c r="Q91" s="803"/>
      <c r="R91" s="882" t="str">
        <f t="shared" si="15"/>
        <v>‼️ NEW VOR found on Aconex (09-Jul-2026) — FFC to submit Cost Proposal</v>
      </c>
      <c r="S91" s="804"/>
      <c r="T91" s="804"/>
      <c r="U91" s="805" t="str">
        <f>HYPERLINK("https://ksa1.aconex.com/hub/index.html?mainTarget=%2Frsrc%2F20260702.0843%2Fen_AU_DOC%2Fmail%2Fview%2Findex.html%231342178882%2F1417004190%3Fe2e%3Dnull","Open in Aconex")</f>
        <v>Open in Aconex</v>
      </c>
      <c r="V91" s="805"/>
      <c r="W91" s="684"/>
      <c r="X91" s="685"/>
      <c r="Y91" s="685"/>
      <c r="Z91" s="806"/>
    </row>
    <row r="92" spans="2:26" s="671" customFormat="1" ht="69" customHeight="1">
      <c r="B92" s="795">
        <f>B91+1</f>
        <v>82</v>
      </c>
      <c r="C92" s="796" t="str">
        <f>LEFT(IFERROR("VO-"&amp;_xlfn.TEXTAFTER(P92,"-00"),""),5)</f>
        <v>VO-84</v>
      </c>
      <c r="D92" s="797">
        <v>46232</v>
      </c>
      <c r="E92" s="796"/>
      <c r="F92" s="842" t="s">
        <v>587</v>
      </c>
      <c r="G92" s="798"/>
      <c r="H92" s="796" t="s">
        <v>223</v>
      </c>
      <c r="I92" s="799"/>
      <c r="J92" s="799"/>
      <c r="K92" s="800"/>
      <c r="L92" s="801"/>
      <c r="M92" s="801"/>
      <c r="N92" s="802"/>
      <c r="O92" s="851" t="s">
        <v>259</v>
      </c>
      <c r="P92" s="803" t="s">
        <v>588</v>
      </c>
      <c r="Q92" s="803"/>
      <c r="R92" s="970" t="str">
        <f>"‼️ NEW VOR found on Aconex ("&amp;TEXT(D92,"dd-mmm-yyyy")&amp;") — FFC to submit Cost Proposal"</f>
        <v>‼️ NEW VOR found on Aconex (29-Jul-2026) — FFC to submit Cost Proposal</v>
      </c>
      <c r="S92" s="804" t="s">
        <v>589</v>
      </c>
      <c r="T92" s="804"/>
      <c r="U92" s="805"/>
      <c r="V92" s="805"/>
      <c r="W92" s="684"/>
      <c r="X92" s="685"/>
      <c r="Y92" s="685"/>
      <c r="Z92" s="806"/>
    </row>
    <row r="93" spans="2:26" s="671" customFormat="1" ht="69" customHeight="1">
      <c r="B93" s="795">
        <f>B92+1</f>
        <v>83</v>
      </c>
      <c r="C93" s="796" t="str">
        <f>LEFT(IFERROR("VO-"&amp;_xlfn.TEXTAFTER(P93,"-00"),""),5)</f>
        <v>VO-85</v>
      </c>
      <c r="D93" s="797">
        <v>46232</v>
      </c>
      <c r="E93" s="796"/>
      <c r="F93" s="842" t="s">
        <v>590</v>
      </c>
      <c r="G93" s="798"/>
      <c r="H93" s="796" t="s">
        <v>223</v>
      </c>
      <c r="I93" s="799"/>
      <c r="J93" s="799"/>
      <c r="K93" s="800"/>
      <c r="L93" s="801"/>
      <c r="M93" s="801"/>
      <c r="N93" s="802"/>
      <c r="O93" s="851" t="s">
        <v>259</v>
      </c>
      <c r="P93" s="803" t="s">
        <v>591</v>
      </c>
      <c r="Q93" s="803"/>
      <c r="R93" s="970" t="str">
        <f>"‼️ NEW VOR found on Aconex ("&amp;TEXT(D93,"dd-mmm-yyyy")&amp;") — FFC to submit Cost Proposal"</f>
        <v>‼️ NEW VOR found on Aconex (29-Jul-2026) — FFC to submit Cost Proposal</v>
      </c>
      <c r="S93" s="804" t="s">
        <v>592</v>
      </c>
      <c r="T93" s="804"/>
      <c r="U93" s="805"/>
      <c r="V93" s="805"/>
      <c r="W93" s="684"/>
      <c r="X93" s="685"/>
      <c r="Y93" s="685"/>
      <c r="Z93" s="806"/>
    </row>
    <row r="94" spans="2:26" s="671" customFormat="1" ht="69" customHeight="1">
      <c r="B94" s="815">
        <f>B93+1</f>
        <v>84</v>
      </c>
      <c r="C94" s="816" t="str">
        <f t="shared" si="14"/>
        <v/>
      </c>
      <c r="D94" s="817"/>
      <c r="E94" s="816"/>
      <c r="F94" s="818" t="s">
        <v>531</v>
      </c>
      <c r="G94" s="819">
        <v>45967</v>
      </c>
      <c r="H94" s="816" t="s">
        <v>392</v>
      </c>
      <c r="I94" s="820" t="s">
        <v>532</v>
      </c>
      <c r="J94" s="821" t="s">
        <v>532</v>
      </c>
      <c r="K94" s="822"/>
      <c r="L94" s="823">
        <v>152696.29999999999</v>
      </c>
      <c r="M94" s="823"/>
      <c r="N94" s="824"/>
      <c r="O94" s="849" t="s">
        <v>266</v>
      </c>
      <c r="P94" s="825"/>
      <c r="Q94" s="825"/>
      <c r="R94" s="868" t="s">
        <v>533</v>
      </c>
      <c r="S94" s="826"/>
      <c r="T94" s="826"/>
      <c r="U94" s="805"/>
      <c r="V94" s="827" t="str">
        <f>HYPERLINK("https://ksa1.aconex.com/MiniURL?type=MAILSEARCH&amp;mailbox=5&amp;pid=1342178882&amp;cid=1403064804","View Submission")</f>
        <v>View Submission</v>
      </c>
      <c r="W94" s="668"/>
      <c r="X94" s="669"/>
      <c r="Y94" s="669"/>
      <c r="Z94" s="828"/>
    </row>
    <row r="95" spans="2:26" ht="54" customHeight="1">
      <c r="B95" s="556"/>
      <c r="C95" s="557"/>
      <c r="D95" s="558"/>
      <c r="E95" s="557"/>
      <c r="F95" s="557" t="s">
        <v>534</v>
      </c>
      <c r="G95" s="559"/>
      <c r="H95" s="557"/>
      <c r="I95" s="560"/>
      <c r="J95" s="557"/>
      <c r="K95" s="561"/>
      <c r="L95" s="557"/>
      <c r="M95" s="557"/>
      <c r="N95" s="562">
        <f>SUM(N11:N94)</f>
        <v>25035631.619394295</v>
      </c>
      <c r="O95" s="557"/>
      <c r="P95" s="563"/>
      <c r="Q95" s="563"/>
      <c r="R95" s="869"/>
      <c r="S95" s="563"/>
      <c r="T95" s="563"/>
      <c r="U95" s="564"/>
      <c r="V95" s="564"/>
      <c r="W95" s="565"/>
      <c r="X95" s="566"/>
      <c r="Y95" s="566"/>
      <c r="Z95" s="567"/>
    </row>
    <row r="96" spans="2:26" ht="64.5" customHeight="1">
      <c r="V96" s="547"/>
    </row>
    <row r="97" spans="6:6" ht="64.5" customHeight="1"/>
    <row r="98" spans="6:6" ht="64.5" customHeight="1" thickBot="1"/>
    <row r="99" spans="6:6" ht="64.5" customHeight="1" thickBot="1">
      <c r="F99" s="573"/>
    </row>
    <row r="100" spans="6:6" ht="64.5" customHeight="1">
      <c r="F100" s="574" t="s">
        <v>535</v>
      </c>
    </row>
    <row r="101" spans="6:6" ht="64.5" customHeight="1"/>
    <row r="102" spans="6:6" ht="64.5" customHeight="1"/>
    <row r="103" spans="6:6" ht="64.5" customHeight="1"/>
    <row r="104" spans="6:6" ht="64.5" customHeight="1"/>
    <row r="105" spans="6:6" ht="64.5" customHeight="1"/>
    <row r="106" spans="6:6" ht="64.5" customHeight="1"/>
    <row r="107" spans="6:6" ht="64.5" customHeight="1"/>
    <row r="108" spans="6:6" ht="64.5" customHeight="1"/>
    <row r="109" spans="6:6" ht="64.5" customHeight="1"/>
    <row r="110" spans="6:6" ht="64.5" customHeight="1"/>
    <row r="111" spans="6:6" ht="64.5" customHeight="1"/>
    <row r="112" spans="6:6" ht="64.5" customHeight="1"/>
    <row r="113" ht="64.5" customHeight="1"/>
    <row r="114" ht="64.5" customHeight="1"/>
    <row r="115" ht="64.5" customHeight="1"/>
    <row r="116" ht="64.5" customHeight="1"/>
    <row r="117" ht="64.5" customHeight="1"/>
    <row r="118" ht="64.5" customHeight="1"/>
    <row r="119" ht="64.5" customHeight="1"/>
    <row r="120" ht="64.5" customHeight="1"/>
    <row r="121" ht="64.5" customHeight="1"/>
    <row r="122" ht="64.5" customHeight="1"/>
    <row r="123" ht="64.5" customHeight="1"/>
    <row r="124" ht="64.5" customHeight="1"/>
    <row r="125" ht="64.5" customHeight="1"/>
    <row r="126" ht="64.5" customHeight="1"/>
    <row r="127" ht="64.5" customHeight="1"/>
    <row r="128" ht="64.5" customHeight="1"/>
    <row r="129" ht="64.5" customHeight="1"/>
    <row r="130" ht="64.5" customHeight="1"/>
    <row r="131" ht="64.5" customHeight="1"/>
    <row r="132" ht="64.5" customHeight="1"/>
    <row r="133" ht="64.5" customHeight="1"/>
    <row r="134" ht="64.5" customHeight="1"/>
    <row r="135" ht="64.5" customHeight="1"/>
    <row r="136" ht="64.5" customHeight="1"/>
    <row r="137" ht="64.5" customHeight="1"/>
    <row r="138" ht="64.5" customHeight="1"/>
    <row r="139" ht="64.5" customHeight="1"/>
    <row r="140" ht="64.5" customHeight="1"/>
    <row r="141" ht="64.5" customHeight="1"/>
    <row r="142" ht="64.5" customHeight="1"/>
    <row r="143" ht="64.5" customHeight="1"/>
    <row r="144" ht="64.5" customHeight="1"/>
    <row r="145" ht="64.5" customHeight="1"/>
    <row r="146" ht="64.5" customHeight="1"/>
    <row r="147" ht="64.5" customHeight="1"/>
    <row r="148" ht="64.5" customHeight="1"/>
    <row r="149" ht="64.5" customHeight="1"/>
    <row r="150" ht="64.5" customHeight="1"/>
    <row r="151" ht="64.5" customHeight="1"/>
    <row r="152" ht="64.5" customHeight="1"/>
    <row r="153" ht="64.5" customHeight="1"/>
    <row r="154" ht="64.5" customHeight="1"/>
    <row r="155" ht="64.5" customHeight="1"/>
    <row r="156" ht="64.5" customHeight="1"/>
  </sheetData>
  <autoFilter ref="B10:V95" xr:uid="{00000000-0009-0000-0000-000003000000}"/>
  <dataConsolidate/>
  <mergeCells count="6">
    <mergeCell ref="F4:F5"/>
    <mergeCell ref="G4:J5"/>
    <mergeCell ref="B1:F1"/>
    <mergeCell ref="X5:Y5"/>
    <mergeCell ref="L3:M4"/>
    <mergeCell ref="N3:O4"/>
  </mergeCells>
  <conditionalFormatting sqref="L10:N10">
    <cfRule type="cellIs" dxfId="11" priority="17" operator="lessThan">
      <formula>0</formula>
    </cfRule>
  </conditionalFormatting>
  <dataValidations count="5">
    <dataValidation type="list" allowBlank="1" showInputMessage="1" showErrorMessage="1" sqref="H2 H621:H1048576" xr:uid="{00000000-0002-0000-0300-000000000000}">
      <formula1>"RFP,VO"</formula1>
    </dataValidation>
    <dataValidation type="list" allowBlank="1" sqref="H10 H12" xr:uid="{00000000-0002-0000-0300-000002000000}">
      <formula1>"RFP,VO"</formula1>
    </dataValidation>
    <dataValidation type="list" allowBlank="1" sqref="H95:H620 H11 C11:D95 H13:H93" xr:uid="{00000000-0002-0000-0300-000003000000}">
      <formula1>"RFP,VO,Gen CORR,EMPI"</formula1>
    </dataValidation>
    <dataValidation allowBlank="1" sqref="L1:N2 L10:N1048576" xr:uid="{00000000-0002-0000-0300-000004000000}"/>
    <dataValidation type="list" allowBlank="1" sqref="O1:O2 O5:O1048576" xr:uid="{8F3AA1BE-AF90-424E-AB79-50AE54F84FD0}">
      <formula1>$X$12:$X$18</formula1>
    </dataValidation>
  </dataValidations>
  <hyperlinks>
    <hyperlink ref="E11" r:id="rId1" xr:uid="{35948A5A-DD94-4A9C-8339-81BAEB7792AF}"/>
    <hyperlink ref="E12" r:id="rId2" xr:uid="{4354693F-A6F0-4E36-8577-6359B4C435FD}"/>
    <hyperlink ref="E13" r:id="rId3" xr:uid="{42F9506D-A8A3-441E-9EC0-3F0FE61E384E}"/>
    <hyperlink ref="E14" r:id="rId4" xr:uid="{BEEAFDC0-FB90-4BA6-A360-185A8ED795A5}"/>
    <hyperlink ref="E15" r:id="rId5" xr:uid="{F48A3FC7-F11C-4FD1-B113-1DA0C702F9F7}"/>
    <hyperlink ref="E16" r:id="rId6" xr:uid="{3E96597E-249D-4F30-B269-DCB38ED32EB5}"/>
    <hyperlink ref="E17" r:id="rId7" xr:uid="{5365BB42-58A9-4012-8420-C4F1BAE72DA1}"/>
    <hyperlink ref="E18" r:id="rId8" xr:uid="{BFB42AA9-3B3D-410B-8170-1E7C8924F552}"/>
    <hyperlink ref="E19" r:id="rId9" xr:uid="{CC636170-194C-41A0-82B7-E47BB71009EE}"/>
    <hyperlink ref="E20" r:id="rId10" xr:uid="{56B8677A-1718-4AF7-B0C3-C64930FB0985}"/>
    <hyperlink ref="E21" r:id="rId11" xr:uid="{AE02D777-B164-4DEF-840C-8A45E9D3D32C}"/>
    <hyperlink ref="E22" r:id="rId12" xr:uid="{17C25D2C-A6B7-47DA-A86F-8A55541EBA4A}"/>
    <hyperlink ref="E23" r:id="rId13" xr:uid="{8EE8E49A-9660-4D47-B97B-A8F840917DDD}"/>
    <hyperlink ref="E24" r:id="rId14" xr:uid="{AB5FCAE8-835F-4CA3-9A0A-9551604050F5}"/>
    <hyperlink ref="E25" r:id="rId15" xr:uid="{2128F7FE-F0D8-4874-8A1F-6112B51A6117}"/>
    <hyperlink ref="E26" r:id="rId16" xr:uid="{4C3D7C02-5326-4D1D-A193-682B49A270B0}"/>
  </hyperlinks>
  <printOptions horizontalCentered="1"/>
  <pageMargins left="0.2" right="0.2" top="0.25" bottom="0.25" header="0.3" footer="0.3"/>
  <pageSetup paperSize="8" scale="32" fitToHeight="0" orientation="landscape" r:id="rId17"/>
  <rowBreaks count="1" manualBreakCount="1">
    <brk id="40" min="1" max="17" man="1"/>
  </rowBreaks>
  <drawing r:id="rId18"/>
  <legacyDrawing r:id="rId19"/>
  <extLst>
    <ext xmlns:x14="http://schemas.microsoft.com/office/spreadsheetml/2009/9/main" uri="{78C0D931-6437-407d-A8EE-F0AAD7539E65}">
      <x14:conditionalFormattings>
        <x14:conditionalFormatting xmlns:xm="http://schemas.microsoft.com/office/excel/2006/main">
          <x14:cfRule type="cellIs" priority="2" stopIfTrue="1" operator="equal" id="{26632AAC-D67A-4DC7-A3A8-125DFBA88284}">
            <xm:f>Sheet1!$A$1</xm:f>
            <x14:dxf>
              <font>
                <b/>
                <i val="0"/>
                <color theme="1"/>
              </font>
              <fill>
                <patternFill patternType="solid">
                  <bgColor rgb="FFEF812E"/>
                </patternFill>
              </fill>
            </x14:dxf>
          </x14:cfRule>
          <x14:cfRule type="cellIs" priority="3" operator="equal" id="{77E7A012-0C50-40D8-894F-38695D7B4900}">
            <xm:f>Sheet1!$A$2</xm:f>
            <x14:dxf>
              <font>
                <b/>
                <i val="0"/>
                <color theme="1"/>
              </font>
              <fill>
                <patternFill patternType="solid">
                  <bgColor rgb="FFAD9142"/>
                </patternFill>
              </fill>
            </x14:dxf>
          </x14:cfRule>
          <x14:cfRule type="cellIs" priority="4" stopIfTrue="1" operator="equal" id="{670668B2-4946-46BB-A350-8C57708EB8AC}">
            <xm:f>Sheet1!$A$3</xm:f>
            <x14:dxf>
              <font>
                <b/>
                <i val="0"/>
                <color theme="1"/>
              </font>
              <fill>
                <patternFill patternType="solid">
                  <bgColor rgb="FFF2BA02"/>
                </patternFill>
              </fill>
            </x14:dxf>
          </x14:cfRule>
          <x14:cfRule type="cellIs" priority="5" stopIfTrue="1" operator="equal" id="{F56D5A13-2B8E-41E2-B6A0-DC981F33D448}">
            <xm:f>Sheet1!$A$4</xm:f>
            <x14:dxf>
              <font>
                <b/>
                <i val="0"/>
                <color theme="1"/>
              </font>
              <fill>
                <patternFill patternType="solid">
                  <bgColor rgb="FF2EBAAF"/>
                </patternFill>
              </fill>
            </x14:dxf>
          </x14:cfRule>
          <x14:cfRule type="cellIs" priority="6" operator="equal" id="{C486C558-624B-4177-8B14-98E983972A4D}">
            <xm:f>Sheet1!$A$5</xm:f>
            <x14:dxf>
              <font>
                <b/>
                <color theme="0"/>
              </font>
              <fill>
                <patternFill patternType="solid">
                  <bgColor rgb="FF06B050"/>
                </patternFill>
              </fill>
            </x14:dxf>
          </x14:cfRule>
          <xm:sqref>N3 O10:O1048576</xm:sqref>
        </x14:conditionalFormatting>
        <x14:conditionalFormatting xmlns:xm="http://schemas.microsoft.com/office/excel/2006/main">
          <x14:cfRule type="cellIs" priority="58" stopIfTrue="1" operator="equal" id="{00000000-000E-0000-0300-000001000000}">
            <xm:f>Sheet1!$A$1</xm:f>
            <x14:dxf>
              <font>
                <b/>
                <i val="0"/>
                <color theme="1"/>
              </font>
              <fill>
                <patternFill patternType="solid">
                  <bgColor rgb="FFEF812E"/>
                </patternFill>
              </fill>
            </x14:dxf>
          </x14:cfRule>
          <x14:cfRule type="cellIs" priority="59" operator="equal" id="{00000000-000E-0000-0300-000002000000}">
            <xm:f>Sheet1!$A$2</xm:f>
            <x14:dxf>
              <font>
                <b/>
                <i val="0"/>
                <color theme="1"/>
              </font>
              <fill>
                <patternFill patternType="solid">
                  <bgColor rgb="FFAD9142"/>
                </patternFill>
              </fill>
            </x14:dxf>
          </x14:cfRule>
          <x14:cfRule type="cellIs" priority="60" stopIfTrue="1" operator="equal" id="{00000000-000E-0000-0300-000003000000}">
            <xm:f>Sheet1!$A$3</xm:f>
            <x14:dxf>
              <font>
                <b/>
                <i val="0"/>
                <color theme="1"/>
              </font>
              <fill>
                <patternFill patternType="solid">
                  <bgColor rgb="FFF2BA02"/>
                </patternFill>
              </fill>
            </x14:dxf>
          </x14:cfRule>
          <x14:cfRule type="cellIs" priority="61" stopIfTrue="1" operator="equal" id="{00000000-000E-0000-0300-000004000000}">
            <xm:f>Sheet1!$A$4</xm:f>
            <x14:dxf>
              <font>
                <b/>
                <i val="0"/>
                <color theme="1"/>
              </font>
              <fill>
                <patternFill patternType="solid">
                  <bgColor rgb="FF2EBAAF"/>
                </patternFill>
              </fill>
            </x14:dxf>
          </x14:cfRule>
          <x14:cfRule type="cellIs" priority="62" operator="equal" id="{00000000-000E-0000-0300-000005000000}">
            <xm:f>Sheet1!$A$5</xm:f>
            <x14:dxf>
              <font>
                <b/>
                <color theme="0"/>
              </font>
              <fill>
                <patternFill patternType="solid">
                  <bgColor rgb="FF06B050"/>
                </patternFill>
              </fill>
            </x14:dxf>
          </x14:cfRule>
          <xm:sqref>O2</xm:sqref>
        </x14:conditionalFormatting>
        <x14:conditionalFormatting xmlns:xm="http://schemas.microsoft.com/office/excel/2006/main">
          <x14:cfRule type="containsText" priority="63" operator="containsText" id="{BD556D33-5873-44B0-8AA3-F19DF3F4F3D6}">
            <xm:f>NOT(ISERROR(SEARCH($X$12,O11)))</xm:f>
            <xm:f>$X$12</xm:f>
            <x14:dxf>
              <fill>
                <patternFill>
                  <bgColor rgb="FF92D050"/>
                </patternFill>
              </fill>
            </x14:dxf>
          </x14:cfRule>
          <xm:sqref>O11:O97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9FD4F-1B35-4763-A472-256EA03A3873}">
  <dimension ref="A1:G7"/>
  <sheetViews>
    <sheetView workbookViewId="0">
      <selection activeCell="E2" sqref="E2"/>
    </sheetView>
  </sheetViews>
  <sheetFormatPr baseColWidth="10" defaultColWidth="8.83203125" defaultRowHeight="15"/>
  <cols>
    <col min="3" max="3" width="53.5" customWidth="1"/>
    <col min="4" max="4" width="10.83203125" customWidth="1"/>
    <col min="5" max="5" width="52.5" customWidth="1"/>
    <col min="7" max="7" width="22.5" customWidth="1"/>
  </cols>
  <sheetData>
    <row r="1" spans="1:7" ht="39">
      <c r="A1" s="119" t="s">
        <v>259</v>
      </c>
      <c r="B1" s="120"/>
      <c r="C1" s="121"/>
      <c r="D1" s="122">
        <f>COUNTIFS('VO LOG (2)'!$O$11:$O$119,A1)</f>
        <v>9</v>
      </c>
      <c r="E1" s="516" cm="1">
        <f t="array" ref="E1:E6">SUMIFS('VO LOG (2)'!N:N,'VO LOG (2)'!O:O,Sheet1!A1:A6)</f>
        <v>0</v>
      </c>
      <c r="G1" s="515">
        <f>'VO LOG (2)'!$M$5</f>
        <v>0</v>
      </c>
    </row>
    <row r="2" spans="1:7" ht="39">
      <c r="A2" s="123" t="s">
        <v>247</v>
      </c>
      <c r="B2" s="124"/>
      <c r="C2" s="125"/>
      <c r="D2" s="126">
        <f>COUNTIFS('VO LOG (2)'!$O$11:$O$119,A2)</f>
        <v>22</v>
      </c>
      <c r="E2" s="520">
        <v>2991535.5681105321</v>
      </c>
      <c r="G2" s="515">
        <f>E1+E2+E3</f>
        <v>9676283.7331105322</v>
      </c>
    </row>
    <row r="3" spans="1:7" ht="39">
      <c r="A3" s="127" t="s">
        <v>253</v>
      </c>
      <c r="B3" s="128"/>
      <c r="C3" s="129"/>
      <c r="D3" s="130">
        <f>COUNTIFS('VO LOG (2)'!$O$11:$O$119,A3)</f>
        <v>4</v>
      </c>
      <c r="E3" s="521">
        <v>6684748.165000001</v>
      </c>
    </row>
    <row r="4" spans="1:7" ht="39">
      <c r="A4" s="131" t="str">
        <f>'VO LOG (2)'!X14</f>
        <v>Approved , Pending DVO</v>
      </c>
      <c r="B4" s="132"/>
      <c r="C4" s="133"/>
      <c r="D4" s="134">
        <f>COUNTIFS('VO LOG (2)'!$O$11:$O$119,A4)</f>
        <v>18</v>
      </c>
      <c r="E4" s="517">
        <v>-23074.748717714716</v>
      </c>
    </row>
    <row r="5" spans="1:7" ht="39">
      <c r="A5" s="135" t="s">
        <v>68</v>
      </c>
      <c r="B5" s="136"/>
      <c r="C5" s="137"/>
      <c r="D5" s="138">
        <f>COUNTIFS('VO LOG (2)'!$O$11:$O$119,A5)</f>
        <v>8</v>
      </c>
      <c r="E5" s="518">
        <v>-362299.9723801082</v>
      </c>
    </row>
    <row r="6" spans="1:7" ht="39">
      <c r="A6" s="522" t="s">
        <v>225</v>
      </c>
      <c r="B6" s="139"/>
      <c r="C6" s="140"/>
      <c r="D6" s="141">
        <f>COUNTIFS('VO LOG (2)'!$O$11:$O$119,A6)</f>
        <v>22</v>
      </c>
      <c r="E6" s="519">
        <v>15744722.60738159</v>
      </c>
    </row>
    <row r="7" spans="1:7" ht="49">
      <c r="A7" s="142" t="s">
        <v>24</v>
      </c>
      <c r="B7" s="143"/>
      <c r="C7" s="144"/>
      <c r="D7" s="145">
        <f>D5+D4+D2+D3+D6</f>
        <v>74</v>
      </c>
      <c r="E7" s="514">
        <f>SUM(_xlfn.ANCHORARRAY(E1))</f>
        <v>25035631.619394299</v>
      </c>
    </row>
  </sheetData>
  <dataValidations count="1">
    <dataValidation allowBlank="1" sqref="A1:D7" xr:uid="{00000000-0002-0000-0300-000004000000}"/>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R37"/>
  <sheetViews>
    <sheetView view="pageBreakPreview" zoomScale="91" zoomScaleNormal="99" workbookViewId="0">
      <selection activeCell="E8" sqref="E8"/>
    </sheetView>
  </sheetViews>
  <sheetFormatPr baseColWidth="10" defaultColWidth="11.5" defaultRowHeight="15"/>
  <cols>
    <col min="1" max="1" width="24.5" customWidth="1"/>
    <col min="2" max="2" width="38.5" customWidth="1"/>
    <col min="3" max="3" width="5.1640625" customWidth="1"/>
    <col min="4" max="4" width="21" customWidth="1"/>
    <col min="5" max="17" width="24.5" customWidth="1"/>
  </cols>
  <sheetData>
    <row r="1" spans="1:18" ht="16" customHeight="1">
      <c r="A1" s="98" t="s">
        <v>75</v>
      </c>
      <c r="B1" s="98"/>
      <c r="C1" s="98"/>
      <c r="D1" s="98"/>
      <c r="E1" s="99"/>
      <c r="F1" s="99"/>
      <c r="G1" s="99"/>
      <c r="H1" s="99"/>
      <c r="I1" s="99"/>
      <c r="J1" s="99"/>
      <c r="K1" s="99"/>
      <c r="L1" s="99"/>
      <c r="M1" s="99"/>
      <c r="N1" s="99"/>
      <c r="O1" s="99"/>
      <c r="P1" s="99"/>
      <c r="Q1" s="99"/>
      <c r="R1" s="99"/>
    </row>
    <row r="2" spans="1:18" ht="16" customHeight="1">
      <c r="A2" s="965" t="s">
        <v>77</v>
      </c>
      <c r="B2" s="963"/>
      <c r="C2" s="100"/>
      <c r="D2" s="100"/>
      <c r="E2" s="99"/>
      <c r="F2" s="99"/>
      <c r="G2" s="99"/>
      <c r="H2" s="99"/>
      <c r="I2" s="99"/>
      <c r="J2" s="99"/>
      <c r="K2" s="99"/>
      <c r="L2" s="99"/>
      <c r="M2" s="99"/>
      <c r="N2" s="99"/>
      <c r="O2" s="99"/>
      <c r="P2" s="99"/>
      <c r="Q2" s="99"/>
      <c r="R2" s="99"/>
    </row>
    <row r="3" spans="1:18" ht="16" customHeight="1">
      <c r="A3" s="101" t="s">
        <v>80</v>
      </c>
      <c r="B3" s="101" t="s">
        <v>81</v>
      </c>
      <c r="C3" s="100"/>
      <c r="D3" s="100"/>
      <c r="E3" s="99"/>
      <c r="F3" s="99"/>
      <c r="G3" s="99"/>
      <c r="H3" s="99"/>
      <c r="I3" s="99"/>
      <c r="J3" s="99"/>
      <c r="K3" s="99"/>
      <c r="L3" s="99"/>
      <c r="M3" s="99"/>
      <c r="N3" s="99"/>
      <c r="O3" s="99"/>
      <c r="P3" s="99"/>
      <c r="Q3" s="99"/>
      <c r="R3" s="99"/>
    </row>
    <row r="4" spans="1:18" ht="16" customHeight="1">
      <c r="A4" s="101" t="s">
        <v>83</v>
      </c>
      <c r="B4" s="101" t="s">
        <v>84</v>
      </c>
      <c r="C4" s="100"/>
      <c r="D4" s="100"/>
      <c r="E4" s="99"/>
      <c r="F4" s="99"/>
      <c r="G4" s="99"/>
      <c r="H4" s="99"/>
      <c r="I4" s="99"/>
      <c r="J4" s="99"/>
      <c r="K4" s="99"/>
      <c r="L4" s="99"/>
      <c r="M4" s="99"/>
      <c r="N4" s="99"/>
      <c r="O4" s="99"/>
      <c r="P4" s="99"/>
      <c r="Q4" s="99"/>
      <c r="R4" s="99"/>
    </row>
    <row r="5" spans="1:18" ht="16" customHeight="1">
      <c r="A5" s="101" t="s">
        <v>536</v>
      </c>
      <c r="B5" s="101"/>
      <c r="C5" s="100"/>
      <c r="D5" s="100"/>
      <c r="E5" s="99"/>
      <c r="F5" s="99"/>
      <c r="G5" s="99"/>
      <c r="H5" s="99"/>
      <c r="I5" s="99"/>
      <c r="J5" s="99"/>
      <c r="K5" s="99"/>
      <c r="L5" s="99"/>
      <c r="M5" s="99"/>
      <c r="N5" s="99"/>
      <c r="O5" s="99"/>
      <c r="P5" s="99"/>
      <c r="Q5" s="99"/>
      <c r="R5" s="99"/>
    </row>
    <row r="6" spans="1:18">
      <c r="A6" s="964" t="s">
        <v>78</v>
      </c>
      <c r="B6" s="963"/>
      <c r="C6" s="963"/>
      <c r="D6" s="963"/>
      <c r="E6" s="99"/>
      <c r="F6" s="99" t="s">
        <v>76</v>
      </c>
      <c r="G6" s="99"/>
      <c r="H6" s="99"/>
      <c r="I6" s="99"/>
      <c r="J6" s="99"/>
      <c r="K6" s="99"/>
      <c r="L6" s="99"/>
      <c r="M6" s="99"/>
      <c r="N6" s="99"/>
      <c r="O6" s="99"/>
      <c r="P6" s="99"/>
      <c r="Q6" s="99"/>
      <c r="R6" s="99"/>
    </row>
    <row r="7" spans="1:18">
      <c r="A7" s="963"/>
      <c r="B7" s="963"/>
      <c r="C7" s="963"/>
      <c r="D7" s="963"/>
      <c r="H7" s="99"/>
      <c r="I7" s="99"/>
      <c r="J7" s="99"/>
      <c r="K7" s="99"/>
      <c r="L7" s="99"/>
      <c r="M7" s="99"/>
      <c r="N7" s="99"/>
      <c r="O7" s="99"/>
      <c r="P7" s="99"/>
      <c r="Q7" s="99"/>
      <c r="R7" s="99"/>
    </row>
    <row r="8" spans="1:18" ht="16" customHeight="1">
      <c r="A8" s="102" t="s">
        <v>82</v>
      </c>
      <c r="B8" s="103">
        <v>217501556.115897</v>
      </c>
      <c r="C8" s="103"/>
      <c r="D8" s="103"/>
      <c r="H8" s="99"/>
      <c r="I8" s="99"/>
      <c r="J8" s="99"/>
      <c r="K8" s="99"/>
      <c r="L8" s="99"/>
      <c r="M8" s="99"/>
      <c r="N8" s="99"/>
      <c r="O8" s="99"/>
      <c r="P8" s="99"/>
      <c r="Q8" s="99"/>
      <c r="R8" s="99"/>
    </row>
    <row r="9" spans="1:18" ht="16" customHeight="1">
      <c r="A9" s="102" t="s">
        <v>85</v>
      </c>
      <c r="B9" s="103">
        <v>232708408.66119501</v>
      </c>
      <c r="C9" s="103"/>
      <c r="D9" s="103"/>
      <c r="H9" s="99"/>
      <c r="I9" s="99"/>
      <c r="J9" s="99"/>
      <c r="K9" s="99"/>
      <c r="L9" s="99"/>
      <c r="M9" s="99"/>
      <c r="N9" s="99"/>
      <c r="O9" s="99"/>
      <c r="P9" s="99"/>
      <c r="Q9" s="99"/>
      <c r="R9" s="99"/>
    </row>
    <row r="10" spans="1:18" ht="16" customHeight="1">
      <c r="A10" s="966" t="s">
        <v>537</v>
      </c>
      <c r="B10" s="963"/>
      <c r="C10" s="963"/>
      <c r="D10" s="963"/>
      <c r="H10" s="99"/>
      <c r="I10" s="99"/>
      <c r="J10" s="99"/>
      <c r="K10" s="99"/>
      <c r="L10" s="99"/>
      <c r="M10" s="99"/>
      <c r="N10" s="99"/>
      <c r="O10" s="99"/>
      <c r="P10" s="99"/>
      <c r="Q10" s="99" t="s">
        <v>88</v>
      </c>
      <c r="R10" s="99"/>
    </row>
    <row r="11" spans="1:18" ht="16" customHeight="1">
      <c r="A11" s="104"/>
      <c r="B11" s="967" t="s">
        <v>538</v>
      </c>
      <c r="C11" s="963"/>
      <c r="D11" s="105" t="s">
        <v>539</v>
      </c>
      <c r="E11" s="99"/>
      <c r="F11" s="99"/>
      <c r="G11" s="106"/>
      <c r="H11" s="99"/>
      <c r="I11" s="99"/>
      <c r="J11" s="99"/>
      <c r="K11" s="99"/>
      <c r="L11" s="99"/>
      <c r="M11" s="99"/>
      <c r="N11" s="99"/>
      <c r="O11" s="99"/>
      <c r="P11" s="99"/>
      <c r="Q11" s="99"/>
      <c r="R11" s="99"/>
    </row>
    <row r="12" spans="1:18" ht="16" customHeight="1">
      <c r="A12" s="107" t="s">
        <v>89</v>
      </c>
      <c r="B12" s="108">
        <v>12000000</v>
      </c>
      <c r="C12" s="109">
        <v>0.06</v>
      </c>
      <c r="D12" s="110">
        <f>(D13/B13)*B12</f>
        <v>8771580</v>
      </c>
      <c r="H12" s="99"/>
      <c r="I12" s="99"/>
      <c r="J12" s="99"/>
      <c r="K12" s="99"/>
      <c r="L12" s="99"/>
      <c r="M12" s="99"/>
      <c r="N12" s="99"/>
      <c r="O12" s="99"/>
      <c r="P12" s="99"/>
      <c r="Q12" s="99"/>
      <c r="R12" s="99"/>
    </row>
    <row r="13" spans="1:18" ht="16" customHeight="1">
      <c r="A13" s="107" t="s">
        <v>90</v>
      </c>
      <c r="B13" s="108">
        <v>6418102.3520914996</v>
      </c>
      <c r="C13" s="111">
        <v>7.7371738148980906E-2</v>
      </c>
      <c r="D13" s="110">
        <f t="array" ref="D13:D14">'Payment Register'!J40:J41</f>
        <v>4691408.1857965626</v>
      </c>
      <c r="H13" s="99"/>
      <c r="I13" s="99"/>
      <c r="J13" s="99"/>
      <c r="K13" s="99"/>
      <c r="L13" s="99"/>
      <c r="M13" s="99"/>
      <c r="N13" s="99"/>
      <c r="O13" s="99"/>
      <c r="P13" s="99"/>
      <c r="Q13" s="99"/>
      <c r="R13" s="99"/>
    </row>
    <row r="14" spans="1:18" ht="16" customHeight="1">
      <c r="A14" s="107" t="s">
        <v>92</v>
      </c>
      <c r="B14" s="108">
        <v>18005054.059999999</v>
      </c>
      <c r="C14" s="111">
        <v>2.75800190848959E-2</v>
      </c>
      <c r="D14" s="110">
        <v>13161064.340967899</v>
      </c>
      <c r="H14" s="99"/>
      <c r="I14" s="99"/>
      <c r="J14" s="99"/>
      <c r="K14" s="99"/>
      <c r="L14" s="99"/>
      <c r="M14" s="99"/>
      <c r="N14" s="99"/>
      <c r="O14" s="99"/>
      <c r="P14" s="99"/>
      <c r="Q14" s="99"/>
      <c r="R14" s="99"/>
    </row>
    <row r="15" spans="1:18" ht="16" customHeight="1">
      <c r="A15" s="107" t="s">
        <v>540</v>
      </c>
      <c r="B15" s="108">
        <v>148847011.436645</v>
      </c>
      <c r="C15" s="111">
        <v>0.63962884836428202</v>
      </c>
      <c r="D15" s="110">
        <f>SUM('Payment Register'!J19:J39)</f>
        <v>114032222.14042029</v>
      </c>
      <c r="H15" s="99"/>
      <c r="I15" s="99"/>
      <c r="J15" s="99"/>
      <c r="K15" s="99"/>
      <c r="L15" s="99"/>
      <c r="M15" s="99"/>
      <c r="N15" s="99"/>
      <c r="O15" s="99"/>
      <c r="P15" s="99"/>
      <c r="Q15" s="99"/>
      <c r="R15" s="99"/>
    </row>
    <row r="16" spans="1:18" ht="16" customHeight="1">
      <c r="A16" s="107"/>
      <c r="B16" s="108"/>
      <c r="C16" s="111"/>
      <c r="D16" s="110"/>
      <c r="E16" s="99"/>
      <c r="F16" s="99"/>
      <c r="G16" s="99"/>
      <c r="H16" s="99"/>
      <c r="I16" s="99"/>
      <c r="J16" s="99"/>
      <c r="K16" s="99"/>
      <c r="L16" s="99"/>
      <c r="M16" s="99"/>
      <c r="N16" s="99"/>
      <c r="O16" s="99"/>
      <c r="P16" s="99"/>
      <c r="Q16" s="99"/>
      <c r="R16" s="99"/>
    </row>
    <row r="17" spans="1:18" ht="16" customHeight="1">
      <c r="A17" s="107" t="s">
        <v>23</v>
      </c>
      <c r="B17" s="108">
        <v>173270167.84873599</v>
      </c>
      <c r="C17" s="111">
        <v>0.74458060559815797</v>
      </c>
      <c r="D17" s="110">
        <f>SUM('Payment Register'!J19:J41)</f>
        <v>131884694.66718474</v>
      </c>
      <c r="E17" s="99"/>
      <c r="F17" s="99"/>
      <c r="G17" s="99"/>
      <c r="H17" s="99"/>
      <c r="I17" s="99"/>
      <c r="J17" s="99"/>
      <c r="K17" s="99"/>
      <c r="L17" s="99"/>
      <c r="M17" s="99"/>
      <c r="N17" s="99"/>
      <c r="O17" s="99"/>
      <c r="P17" s="99"/>
      <c r="Q17" s="99"/>
      <c r="R17" s="99"/>
    </row>
    <row r="18" spans="1:18" ht="16" customHeight="1">
      <c r="A18" s="107" t="s">
        <v>95</v>
      </c>
      <c r="B18" s="108">
        <v>59438240.812458597</v>
      </c>
      <c r="C18" s="111">
        <v>0.25541939440184203</v>
      </c>
      <c r="D18" s="110">
        <v>54239999.495375</v>
      </c>
      <c r="E18" s="99"/>
      <c r="F18" s="99"/>
      <c r="G18" s="99"/>
      <c r="H18" s="99"/>
      <c r="I18" s="99"/>
      <c r="J18" s="99"/>
      <c r="K18" s="99"/>
      <c r="L18" s="99"/>
      <c r="M18" s="99"/>
      <c r="N18" s="99"/>
      <c r="O18" s="99"/>
      <c r="P18" s="99"/>
      <c r="Q18" s="99"/>
      <c r="R18" s="99"/>
    </row>
    <row r="19" spans="1:18" ht="16" customHeight="1">
      <c r="A19" s="112"/>
      <c r="B19" s="112"/>
      <c r="C19" s="112"/>
      <c r="D19" s="112"/>
    </row>
    <row r="20" spans="1:18" ht="16" customHeight="1">
      <c r="A20" s="968" t="s">
        <v>79</v>
      </c>
      <c r="B20" s="963"/>
      <c r="C20" s="963"/>
      <c r="D20" s="112"/>
    </row>
    <row r="21" spans="1:18" ht="16" customHeight="1">
      <c r="A21" s="113" t="s">
        <v>36</v>
      </c>
      <c r="B21" s="113">
        <v>65250466.833179399</v>
      </c>
      <c r="C21" s="114">
        <v>0.32090000000000002</v>
      </c>
      <c r="D21" s="112"/>
    </row>
    <row r="22" spans="1:18" ht="16" customHeight="1">
      <c r="A22" s="113" t="s">
        <v>86</v>
      </c>
      <c r="B22" s="113">
        <v>51054339.118378602</v>
      </c>
      <c r="C22" s="114">
        <v>0.782436380860004</v>
      </c>
      <c r="D22" s="112"/>
    </row>
    <row r="23" spans="1:18" ht="16" customHeight="1">
      <c r="A23" s="113" t="s">
        <v>56</v>
      </c>
      <c r="B23" s="113">
        <v>14196127.714800799</v>
      </c>
      <c r="C23" s="114">
        <v>0.217563619139996</v>
      </c>
      <c r="D23" s="112"/>
    </row>
    <row r="24" spans="1:18" ht="16" customHeight="1">
      <c r="A24" s="112"/>
      <c r="B24" s="112"/>
      <c r="C24" s="112"/>
      <c r="D24" s="112"/>
    </row>
    <row r="25" spans="1:18" ht="16" customHeight="1">
      <c r="A25" s="969" t="s">
        <v>91</v>
      </c>
      <c r="B25" s="963"/>
      <c r="C25" s="963"/>
      <c r="D25" s="112"/>
    </row>
    <row r="26" spans="1:18" ht="16" customHeight="1">
      <c r="A26" s="115" t="s">
        <v>93</v>
      </c>
      <c r="B26" s="115">
        <v>10875077.8057948</v>
      </c>
      <c r="C26" s="116">
        <v>0.05</v>
      </c>
      <c r="D26" s="112"/>
    </row>
    <row r="27" spans="1:18" ht="16" customHeight="1">
      <c r="A27" s="115" t="s">
        <v>86</v>
      </c>
      <c r="B27" s="115">
        <v>8663508.3727263305</v>
      </c>
      <c r="C27" s="116">
        <v>0.79663874847037197</v>
      </c>
      <c r="D27" s="112"/>
    </row>
    <row r="28" spans="1:18" ht="16" customHeight="1">
      <c r="A28" s="115" t="s">
        <v>56</v>
      </c>
      <c r="B28" s="115">
        <v>2211569.4330685199</v>
      </c>
      <c r="C28" s="116">
        <v>0.203361251529628</v>
      </c>
      <c r="D28" s="112"/>
    </row>
    <row r="29" spans="1:18" ht="16" customHeight="1">
      <c r="A29" s="112"/>
      <c r="B29" s="112"/>
      <c r="C29" s="112"/>
      <c r="D29" s="112"/>
    </row>
    <row r="30" spans="1:18" ht="16" customHeight="1">
      <c r="A30" s="112"/>
      <c r="B30" s="962" t="s">
        <v>541</v>
      </c>
      <c r="C30" s="963"/>
      <c r="D30" s="963"/>
    </row>
    <row r="31" spans="1:18" ht="16" customHeight="1">
      <c r="A31" s="112"/>
      <c r="B31" s="117" t="s">
        <v>259</v>
      </c>
      <c r="C31" s="117">
        <v>1</v>
      </c>
      <c r="D31" s="118">
        <v>45000</v>
      </c>
    </row>
    <row r="32" spans="1:18" ht="16" customHeight="1">
      <c r="A32" s="112"/>
      <c r="B32" s="117" t="s">
        <v>247</v>
      </c>
      <c r="C32" s="117">
        <v>27</v>
      </c>
      <c r="D32" s="118">
        <v>11680021.157141</v>
      </c>
    </row>
    <row r="33" spans="1:4" ht="16" customHeight="1">
      <c r="A33" s="112"/>
      <c r="B33" s="117" t="s">
        <v>253</v>
      </c>
      <c r="C33" s="117">
        <v>9</v>
      </c>
      <c r="D33" s="118">
        <v>4136961.37</v>
      </c>
    </row>
    <row r="34" spans="1:4" ht="16" customHeight="1">
      <c r="A34" s="112"/>
      <c r="B34" s="117" t="s">
        <v>542</v>
      </c>
      <c r="C34" s="117">
        <v>3</v>
      </c>
      <c r="D34" s="118">
        <v>-113950.17</v>
      </c>
    </row>
    <row r="35" spans="1:4" ht="16" customHeight="1">
      <c r="A35" s="112"/>
      <c r="B35" s="117" t="s">
        <v>68</v>
      </c>
      <c r="C35" s="117">
        <v>10</v>
      </c>
      <c r="D35" s="118">
        <v>15320802.715297701</v>
      </c>
    </row>
    <row r="36" spans="1:4" ht="16" customHeight="1">
      <c r="A36" s="112"/>
      <c r="B36" s="117" t="s">
        <v>24</v>
      </c>
      <c r="C36" s="117">
        <v>49</v>
      </c>
      <c r="D36" s="118">
        <v>31023835.072438698</v>
      </c>
    </row>
    <row r="37" spans="1:4" ht="16" customHeight="1">
      <c r="A37" s="112"/>
      <c r="B37" s="112"/>
      <c r="C37" s="112"/>
      <c r="D37" s="112"/>
    </row>
  </sheetData>
  <mergeCells count="7">
    <mergeCell ref="B30:D30"/>
    <mergeCell ref="A6:D7"/>
    <mergeCell ref="A2:B2"/>
    <mergeCell ref="A10:D10"/>
    <mergeCell ref="B11:C11"/>
    <mergeCell ref="A20:C20"/>
    <mergeCell ref="A25:C25"/>
  </mergeCells>
  <pageMargins left="0.7" right="0.7" top="0.75" bottom="0.75" header="0.3" footer="0.3"/>
  <pageSetup paperSize="9" scale="92"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8C95"/>
  </sheetPr>
  <dimension ref="A1:T120"/>
  <sheetViews>
    <sheetView showGridLines="0" view="pageBreakPreview" topLeftCell="A69" zoomScale="125" zoomScaleNormal="44" workbookViewId="0">
      <selection activeCell="C84" sqref="C84"/>
    </sheetView>
  </sheetViews>
  <sheetFormatPr baseColWidth="10" defaultColWidth="10.83203125" defaultRowHeight="15"/>
  <cols>
    <col min="1" max="1" width="3.83203125" style="1" customWidth="1"/>
    <col min="2" max="2" width="7.5" style="2" customWidth="1"/>
    <col min="3" max="3" width="53.5" style="2" customWidth="1"/>
    <col min="4" max="4" width="13.83203125" style="2" customWidth="1"/>
    <col min="5" max="5" width="12.83203125" style="2" customWidth="1"/>
    <col min="6" max="6" width="11.1640625" style="2" customWidth="1"/>
    <col min="7" max="7" width="13.5" style="2" customWidth="1"/>
    <col min="8" max="8" width="16.5" style="2" customWidth="1"/>
    <col min="9" max="9" width="13.5" style="3" customWidth="1"/>
    <col min="10" max="10" width="21.1640625" style="4" customWidth="1"/>
    <col min="11" max="12" width="19.1640625" style="4" customWidth="1"/>
    <col min="13" max="13" width="28.1640625" style="2" customWidth="1"/>
    <col min="14" max="14" width="19" style="2" customWidth="1"/>
    <col min="15" max="15" width="18.1640625" style="2" customWidth="1"/>
    <col min="16" max="16" width="15" style="2" customWidth="1"/>
    <col min="17" max="17" width="3.83203125" style="1" customWidth="1"/>
    <col min="18" max="18" width="10.83203125" style="2" customWidth="1"/>
    <col min="19" max="20" width="13" style="2" hidden="1" customWidth="1"/>
    <col min="21" max="24" width="10.83203125" style="2" customWidth="1"/>
    <col min="25" max="16384" width="10.83203125" style="2"/>
  </cols>
  <sheetData>
    <row r="1" spans="2:20" ht="8" customHeight="1">
      <c r="B1" s="1"/>
      <c r="C1" s="1"/>
      <c r="D1" s="1"/>
      <c r="E1" s="1"/>
      <c r="F1" s="1"/>
      <c r="G1" s="1"/>
      <c r="H1" s="1"/>
      <c r="I1" s="5"/>
      <c r="J1" s="6"/>
      <c r="K1" s="6"/>
      <c r="L1" s="6"/>
      <c r="M1" s="1"/>
      <c r="N1" s="1"/>
      <c r="O1" s="1"/>
      <c r="P1" s="1"/>
      <c r="R1" s="1"/>
      <c r="S1" s="1"/>
      <c r="T1" s="1"/>
    </row>
    <row r="2" spans="2:20" ht="42" customHeight="1">
      <c r="B2" s="7" t="s">
        <v>543</v>
      </c>
      <c r="C2" s="8"/>
      <c r="D2" s="8"/>
      <c r="E2" s="8"/>
      <c r="F2" s="8"/>
      <c r="G2" s="8"/>
      <c r="H2" s="8"/>
      <c r="I2" s="9"/>
      <c r="J2" s="10"/>
      <c r="K2" s="10"/>
      <c r="L2" s="10"/>
      <c r="M2" s="8"/>
      <c r="N2" s="8"/>
      <c r="O2" s="8"/>
      <c r="P2" s="8"/>
      <c r="R2" s="1"/>
      <c r="S2" s="1"/>
      <c r="T2" s="1"/>
    </row>
    <row r="3" spans="2:20" ht="24" customHeight="1">
      <c r="B3" s="11" t="s">
        <v>544</v>
      </c>
      <c r="C3" s="8"/>
      <c r="D3" s="8"/>
      <c r="E3" s="8"/>
      <c r="F3" s="8"/>
      <c r="G3" s="8"/>
      <c r="H3" s="8"/>
      <c r="I3" s="9"/>
      <c r="J3" s="10"/>
      <c r="K3" s="10"/>
      <c r="L3" s="10"/>
      <c r="M3" s="8"/>
      <c r="N3" s="8"/>
      <c r="O3" s="12">
        <f ca="1">TODAY()</f>
        <v>46232</v>
      </c>
      <c r="P3" s="8"/>
      <c r="R3" s="1"/>
      <c r="S3" s="1"/>
      <c r="T3" s="1"/>
    </row>
    <row r="4" spans="2:20" ht="6" customHeight="1">
      <c r="B4" s="13"/>
      <c r="C4" s="13"/>
      <c r="D4" s="13"/>
      <c r="E4" s="13"/>
      <c r="F4" s="13"/>
      <c r="G4" s="13"/>
      <c r="H4" s="13"/>
      <c r="I4" s="14"/>
      <c r="J4" s="15"/>
      <c r="K4" s="15"/>
      <c r="L4" s="15"/>
      <c r="M4" s="13"/>
      <c r="N4" s="13"/>
      <c r="O4" s="13"/>
      <c r="P4" s="13"/>
      <c r="R4" s="1"/>
      <c r="S4" s="1"/>
      <c r="T4" s="1"/>
    </row>
    <row r="5" spans="2:20" ht="12" customHeight="1">
      <c r="B5" s="1"/>
      <c r="C5" s="1"/>
      <c r="D5" s="1"/>
      <c r="E5" s="1"/>
      <c r="F5" s="1"/>
      <c r="G5" s="1"/>
      <c r="H5" s="1"/>
      <c r="I5" s="5"/>
      <c r="J5" s="6"/>
      <c r="K5" s="6"/>
      <c r="L5" s="6"/>
      <c r="M5" s="1"/>
      <c r="N5" s="1"/>
      <c r="O5" s="1"/>
      <c r="P5" s="1"/>
      <c r="R5" s="1"/>
      <c r="S5" s="1"/>
      <c r="T5" s="1"/>
    </row>
    <row r="6" spans="2:20" ht="18" customHeight="1">
      <c r="B6" s="16" t="s">
        <v>545</v>
      </c>
      <c r="C6" s="1"/>
      <c r="D6" s="17" t="s">
        <v>546</v>
      </c>
      <c r="E6" s="1"/>
      <c r="F6" s="16" t="s">
        <v>547</v>
      </c>
      <c r="G6" s="1"/>
      <c r="H6" s="18" t="s">
        <v>548</v>
      </c>
      <c r="I6" s="5"/>
      <c r="J6" s="19" t="s">
        <v>549</v>
      </c>
      <c r="K6" s="6"/>
      <c r="L6" s="20" t="s">
        <v>550</v>
      </c>
      <c r="M6" s="1"/>
      <c r="N6" s="21" t="s">
        <v>551</v>
      </c>
      <c r="O6" s="22"/>
      <c r="P6" s="1"/>
      <c r="R6" s="1"/>
      <c r="S6" s="1" t="s">
        <v>111</v>
      </c>
      <c r="T6" s="1" t="s">
        <v>552</v>
      </c>
    </row>
    <row r="7" spans="2:20" ht="38" customHeight="1">
      <c r="B7" s="23" t="e">
        <f>#REF!</f>
        <v>#REF!</v>
      </c>
      <c r="C7" s="1"/>
      <c r="D7" s="24" t="e">
        <f>#REF!</f>
        <v>#REF!</v>
      </c>
      <c r="E7" s="1"/>
      <c r="F7" s="23" t="e">
        <f>#REF!</f>
        <v>#REF!</v>
      </c>
      <c r="G7" s="1"/>
      <c r="H7" s="25" t="e">
        <f>#REF!</f>
        <v>#REF!</v>
      </c>
      <c r="I7" s="5"/>
      <c r="J7" s="26" t="e">
        <f>#REF!</f>
        <v>#REF!</v>
      </c>
      <c r="K7" s="6"/>
      <c r="L7" s="27" t="e">
        <f>#REF!</f>
        <v>#REF!</v>
      </c>
      <c r="M7" s="1"/>
      <c r="N7" s="28" t="e">
        <f>#REF!</f>
        <v>#REF!</v>
      </c>
      <c r="O7" s="29"/>
      <c r="P7" s="1"/>
      <c r="R7" s="1"/>
      <c r="S7" s="1" t="s">
        <v>225</v>
      </c>
      <c r="T7" s="1" t="e">
        <f>#REF!</f>
        <v>#REF!</v>
      </c>
    </row>
    <row r="8" spans="2:20" ht="18" customHeight="1">
      <c r="B8" s="30" t="s">
        <v>553</v>
      </c>
      <c r="C8" s="1"/>
      <c r="D8" s="30" t="s">
        <v>228</v>
      </c>
      <c r="E8" s="1"/>
      <c r="F8" s="30" t="s">
        <v>554</v>
      </c>
      <c r="G8" s="1"/>
      <c r="H8" s="30" t="s">
        <v>555</v>
      </c>
      <c r="I8" s="5"/>
      <c r="J8" s="31" t="s">
        <v>556</v>
      </c>
      <c r="K8" s="6"/>
      <c r="L8" s="31" t="s">
        <v>557</v>
      </c>
      <c r="M8" s="1"/>
      <c r="N8" s="32" t="s">
        <v>558</v>
      </c>
      <c r="O8" s="33"/>
      <c r="P8" s="1"/>
      <c r="R8" s="1"/>
      <c r="S8" s="1" t="s">
        <v>559</v>
      </c>
      <c r="T8" s="1" t="e">
        <f>#REF!</f>
        <v>#REF!</v>
      </c>
    </row>
    <row r="9" spans="2:20" ht="12" customHeight="1">
      <c r="B9" s="1"/>
      <c r="C9" s="1"/>
      <c r="D9" s="1"/>
      <c r="E9" s="1"/>
      <c r="F9" s="1"/>
      <c r="G9" s="1"/>
      <c r="H9" s="1"/>
      <c r="I9" s="5"/>
      <c r="J9" s="6"/>
      <c r="K9" s="6"/>
      <c r="L9" s="6"/>
      <c r="M9" s="1"/>
      <c r="N9" s="1"/>
      <c r="O9" s="1"/>
      <c r="P9" s="1"/>
      <c r="R9" s="1"/>
      <c r="S9" s="1" t="s">
        <v>66</v>
      </c>
      <c r="T9" s="1" t="e">
        <f>#REF!</f>
        <v>#REF!</v>
      </c>
    </row>
    <row r="10" spans="2:20" ht="28" customHeight="1">
      <c r="B10" s="34" t="s">
        <v>560</v>
      </c>
      <c r="C10" s="35" t="s">
        <v>561</v>
      </c>
      <c r="D10" s="34" t="s">
        <v>562</v>
      </c>
      <c r="E10" s="34" t="s">
        <v>563</v>
      </c>
      <c r="F10" s="36" t="s">
        <v>564</v>
      </c>
      <c r="G10" s="36" t="s">
        <v>565</v>
      </c>
      <c r="H10" s="36" t="s">
        <v>566</v>
      </c>
      <c r="I10" s="34" t="s">
        <v>17</v>
      </c>
      <c r="J10" s="34" t="s">
        <v>567</v>
      </c>
      <c r="K10" s="34" t="s">
        <v>568</v>
      </c>
      <c r="L10" s="34" t="s">
        <v>569</v>
      </c>
      <c r="M10" s="35" t="s">
        <v>570</v>
      </c>
      <c r="N10" s="35" t="s">
        <v>571</v>
      </c>
      <c r="O10" s="35" t="s">
        <v>572</v>
      </c>
      <c r="P10" s="34" t="s">
        <v>573</v>
      </c>
      <c r="R10" s="1"/>
      <c r="S10" s="1" t="s">
        <v>65</v>
      </c>
      <c r="T10" s="1" t="e">
        <f>#REF!</f>
        <v>#REF!</v>
      </c>
    </row>
    <row r="11" spans="2:20" ht="28" customHeight="1">
      <c r="B11" s="37"/>
      <c r="C11" s="38" t="s">
        <v>574</v>
      </c>
      <c r="D11" s="37"/>
      <c r="E11" s="37"/>
      <c r="F11" s="37"/>
      <c r="G11" s="37"/>
      <c r="H11" s="39" t="s">
        <v>575</v>
      </c>
      <c r="I11" s="40"/>
      <c r="J11" s="41"/>
      <c r="K11" s="41"/>
      <c r="L11" s="41"/>
      <c r="M11" s="37"/>
      <c r="N11" s="37"/>
      <c r="O11" s="37"/>
      <c r="P11" s="37"/>
      <c r="R11" s="1"/>
      <c r="S11" s="1" t="s">
        <v>62</v>
      </c>
      <c r="T11" s="1" t="e">
        <f>#REF!</f>
        <v>#REF!</v>
      </c>
    </row>
    <row r="12" spans="2:20" ht="32" customHeight="1">
      <c r="B12" s="42">
        <v>1</v>
      </c>
      <c r="C12" s="43" t="e">
        <f>#REF!</f>
        <v>#REF!</v>
      </c>
      <c r="D12" s="44" t="e">
        <f>#REF!</f>
        <v>#REF!</v>
      </c>
      <c r="E12" s="45" t="e">
        <f>#REF!</f>
        <v>#REF!</v>
      </c>
      <c r="F12" s="46" t="e">
        <f>#REF!</f>
        <v>#REF!</v>
      </c>
      <c r="G12" s="46" t="e">
        <f>#REF!</f>
        <v>#REF!</v>
      </c>
      <c r="H12" s="47" t="e">
        <f>#REF!</f>
        <v>#REF!</v>
      </c>
      <c r="I12" s="48" t="e">
        <f>#REF!</f>
        <v>#REF!</v>
      </c>
      <c r="J12" s="49" t="e">
        <f>#REF!</f>
        <v>#REF!</v>
      </c>
      <c r="K12" s="49" t="e">
        <f>#REF!</f>
        <v>#REF!</v>
      </c>
      <c r="L12" s="49" t="e">
        <f>#REF!</f>
        <v>#REF!</v>
      </c>
      <c r="M12" s="50" t="e">
        <f>#REF!</f>
        <v>#REF!</v>
      </c>
      <c r="N12" s="50" t="e">
        <f>#REF!</f>
        <v>#REF!</v>
      </c>
      <c r="O12" s="50" t="e">
        <f>#REF!</f>
        <v>#REF!</v>
      </c>
      <c r="P12" s="44" t="e">
        <f>#REF!</f>
        <v>#REF!</v>
      </c>
      <c r="R12" s="1"/>
      <c r="S12" s="1"/>
      <c r="T12" s="1"/>
    </row>
    <row r="13" spans="2:20" ht="32" customHeight="1">
      <c r="B13" s="51">
        <v>2</v>
      </c>
      <c r="C13" s="52" t="e">
        <f>#REF!</f>
        <v>#REF!</v>
      </c>
      <c r="D13" s="53" t="e">
        <f>#REF!</f>
        <v>#REF!</v>
      </c>
      <c r="E13" s="54" t="e">
        <f>#REF!</f>
        <v>#REF!</v>
      </c>
      <c r="F13" s="55" t="e">
        <f>#REF!</f>
        <v>#REF!</v>
      </c>
      <c r="G13" s="55" t="e">
        <f>#REF!</f>
        <v>#REF!</v>
      </c>
      <c r="H13" s="56" t="e">
        <f>#REF!</f>
        <v>#REF!</v>
      </c>
      <c r="I13" s="48" t="e">
        <f>#REF!</f>
        <v>#REF!</v>
      </c>
      <c r="J13" s="57" t="e">
        <f>#REF!</f>
        <v>#REF!</v>
      </c>
      <c r="K13" s="57" t="e">
        <f>#REF!</f>
        <v>#REF!</v>
      </c>
      <c r="L13" s="57" t="e">
        <f>#REF!</f>
        <v>#REF!</v>
      </c>
      <c r="M13" s="58" t="e">
        <f>#REF!</f>
        <v>#REF!</v>
      </c>
      <c r="N13" s="58" t="e">
        <f>#REF!</f>
        <v>#REF!</v>
      </c>
      <c r="O13" s="58" t="e">
        <f>#REF!</f>
        <v>#REF!</v>
      </c>
      <c r="P13" s="53" t="e">
        <f>#REF!</f>
        <v>#REF!</v>
      </c>
      <c r="R13" s="1"/>
      <c r="S13" s="1"/>
      <c r="T13" s="1"/>
    </row>
    <row r="14" spans="2:20" ht="32" customHeight="1">
      <c r="B14" s="42">
        <v>3</v>
      </c>
      <c r="C14" s="43" t="e">
        <f>#REF!</f>
        <v>#REF!</v>
      </c>
      <c r="D14" s="44" t="e">
        <f>#REF!</f>
        <v>#REF!</v>
      </c>
      <c r="E14" s="45" t="e">
        <f>#REF!</f>
        <v>#REF!</v>
      </c>
      <c r="F14" s="46" t="e">
        <f>#REF!</f>
        <v>#REF!</v>
      </c>
      <c r="G14" s="46" t="e">
        <f>#REF!</f>
        <v>#REF!</v>
      </c>
      <c r="H14" s="47" t="e">
        <f>#REF!</f>
        <v>#REF!</v>
      </c>
      <c r="I14" s="48" t="e">
        <f>#REF!</f>
        <v>#REF!</v>
      </c>
      <c r="J14" s="49" t="e">
        <f>#REF!</f>
        <v>#REF!</v>
      </c>
      <c r="K14" s="49" t="e">
        <f>#REF!</f>
        <v>#REF!</v>
      </c>
      <c r="L14" s="49" t="e">
        <f>#REF!</f>
        <v>#REF!</v>
      </c>
      <c r="M14" s="50" t="e">
        <f>#REF!</f>
        <v>#REF!</v>
      </c>
      <c r="N14" s="50" t="e">
        <f>#REF!</f>
        <v>#REF!</v>
      </c>
      <c r="O14" s="50" t="e">
        <f>#REF!</f>
        <v>#REF!</v>
      </c>
      <c r="P14" s="44" t="e">
        <f>#REF!</f>
        <v>#REF!</v>
      </c>
      <c r="R14" s="1"/>
      <c r="S14" s="1"/>
      <c r="T14" s="1"/>
    </row>
    <row r="15" spans="2:20" ht="32" customHeight="1">
      <c r="B15" s="51">
        <v>4</v>
      </c>
      <c r="C15" s="52" t="e">
        <f>#REF!</f>
        <v>#REF!</v>
      </c>
      <c r="D15" s="53" t="e">
        <f>#REF!</f>
        <v>#REF!</v>
      </c>
      <c r="E15" s="54" t="e">
        <f>#REF!</f>
        <v>#REF!</v>
      </c>
      <c r="F15" s="55" t="e">
        <f>#REF!</f>
        <v>#REF!</v>
      </c>
      <c r="G15" s="55" t="e">
        <f>#REF!</f>
        <v>#REF!</v>
      </c>
      <c r="H15" s="56" t="e">
        <f>#REF!</f>
        <v>#REF!</v>
      </c>
      <c r="I15" s="48" t="e">
        <f>#REF!</f>
        <v>#REF!</v>
      </c>
      <c r="J15" s="57" t="e">
        <f>#REF!</f>
        <v>#REF!</v>
      </c>
      <c r="K15" s="57" t="e">
        <f>#REF!</f>
        <v>#REF!</v>
      </c>
      <c r="L15" s="57" t="e">
        <f>#REF!</f>
        <v>#REF!</v>
      </c>
      <c r="M15" s="58" t="e">
        <f>#REF!</f>
        <v>#REF!</v>
      </c>
      <c r="N15" s="58" t="e">
        <f>#REF!</f>
        <v>#REF!</v>
      </c>
      <c r="O15" s="58" t="e">
        <f>#REF!</f>
        <v>#REF!</v>
      </c>
      <c r="P15" s="53" t="e">
        <f>#REF!</f>
        <v>#REF!</v>
      </c>
      <c r="R15" s="1"/>
      <c r="S15" s="1"/>
      <c r="T15" s="1"/>
    </row>
    <row r="16" spans="2:20" ht="32" customHeight="1">
      <c r="B16" s="42">
        <v>5</v>
      </c>
      <c r="C16" s="43" t="e">
        <f>#REF!</f>
        <v>#REF!</v>
      </c>
      <c r="D16" s="44" t="e">
        <f>#REF!</f>
        <v>#REF!</v>
      </c>
      <c r="E16" s="45" t="e">
        <f>#REF!</f>
        <v>#REF!</v>
      </c>
      <c r="F16" s="46" t="e">
        <f>#REF!</f>
        <v>#REF!</v>
      </c>
      <c r="G16" s="46" t="e">
        <f>#REF!</f>
        <v>#REF!</v>
      </c>
      <c r="H16" s="47" t="e">
        <f>#REF!</f>
        <v>#REF!</v>
      </c>
      <c r="I16" s="48" t="e">
        <f>#REF!</f>
        <v>#REF!</v>
      </c>
      <c r="J16" s="49" t="e">
        <f>#REF!</f>
        <v>#REF!</v>
      </c>
      <c r="K16" s="49" t="e">
        <f>#REF!</f>
        <v>#REF!</v>
      </c>
      <c r="L16" s="49" t="e">
        <f>#REF!</f>
        <v>#REF!</v>
      </c>
      <c r="M16" s="50" t="e">
        <f>#REF!</f>
        <v>#REF!</v>
      </c>
      <c r="N16" s="50" t="e">
        <f>#REF!</f>
        <v>#REF!</v>
      </c>
      <c r="O16" s="50" t="e">
        <f>#REF!</f>
        <v>#REF!</v>
      </c>
      <c r="P16" s="44" t="e">
        <f>#REF!</f>
        <v>#REF!</v>
      </c>
      <c r="R16" s="1"/>
      <c r="S16" s="1"/>
      <c r="T16" s="1"/>
    </row>
    <row r="17" spans="2:20" ht="32" customHeight="1">
      <c r="B17" s="51">
        <v>6</v>
      </c>
      <c r="C17" s="52" t="e">
        <f>#REF!</f>
        <v>#REF!</v>
      </c>
      <c r="D17" s="53" t="e">
        <f>#REF!</f>
        <v>#REF!</v>
      </c>
      <c r="E17" s="54" t="e">
        <f>#REF!</f>
        <v>#REF!</v>
      </c>
      <c r="F17" s="55" t="e">
        <f>#REF!</f>
        <v>#REF!</v>
      </c>
      <c r="G17" s="55" t="e">
        <f>#REF!</f>
        <v>#REF!</v>
      </c>
      <c r="H17" s="56" t="e">
        <f>#REF!</f>
        <v>#REF!</v>
      </c>
      <c r="I17" s="48" t="e">
        <f>#REF!</f>
        <v>#REF!</v>
      </c>
      <c r="J17" s="57" t="e">
        <f>#REF!</f>
        <v>#REF!</v>
      </c>
      <c r="K17" s="57" t="e">
        <f>#REF!</f>
        <v>#REF!</v>
      </c>
      <c r="L17" s="57" t="e">
        <f>#REF!</f>
        <v>#REF!</v>
      </c>
      <c r="M17" s="58" t="e">
        <f>#REF!</f>
        <v>#REF!</v>
      </c>
      <c r="N17" s="58" t="e">
        <f>#REF!</f>
        <v>#REF!</v>
      </c>
      <c r="O17" s="58" t="e">
        <f>#REF!</f>
        <v>#REF!</v>
      </c>
      <c r="P17" s="53" t="e">
        <f>#REF!</f>
        <v>#REF!</v>
      </c>
      <c r="R17" s="1"/>
      <c r="S17" s="1"/>
      <c r="T17" s="1"/>
    </row>
    <row r="18" spans="2:20" ht="32" customHeight="1">
      <c r="B18" s="42">
        <v>7</v>
      </c>
      <c r="C18" s="43" t="e">
        <f>#REF!</f>
        <v>#REF!</v>
      </c>
      <c r="D18" s="44" t="e">
        <f>#REF!</f>
        <v>#REF!</v>
      </c>
      <c r="E18" s="45" t="e">
        <f>#REF!</f>
        <v>#REF!</v>
      </c>
      <c r="F18" s="46" t="e">
        <f>#REF!</f>
        <v>#REF!</v>
      </c>
      <c r="G18" s="46" t="e">
        <f>#REF!</f>
        <v>#REF!</v>
      </c>
      <c r="H18" s="47" t="e">
        <f>#REF!</f>
        <v>#REF!</v>
      </c>
      <c r="I18" s="48" t="e">
        <f>#REF!</f>
        <v>#REF!</v>
      </c>
      <c r="J18" s="49" t="e">
        <f>#REF!</f>
        <v>#REF!</v>
      </c>
      <c r="K18" s="49" t="e">
        <f>#REF!</f>
        <v>#REF!</v>
      </c>
      <c r="L18" s="49" t="e">
        <f>#REF!</f>
        <v>#REF!</v>
      </c>
      <c r="M18" s="50" t="e">
        <f>#REF!</f>
        <v>#REF!</v>
      </c>
      <c r="N18" s="50" t="e">
        <f>#REF!</f>
        <v>#REF!</v>
      </c>
      <c r="O18" s="50" t="e">
        <f>#REF!</f>
        <v>#REF!</v>
      </c>
      <c r="P18" s="44" t="e">
        <f>#REF!</f>
        <v>#REF!</v>
      </c>
      <c r="R18" s="1"/>
      <c r="S18" s="1"/>
      <c r="T18" s="1"/>
    </row>
    <row r="19" spans="2:20" ht="32" customHeight="1">
      <c r="B19" s="51">
        <v>8</v>
      </c>
      <c r="C19" s="52" t="e">
        <f>#REF!</f>
        <v>#REF!</v>
      </c>
      <c r="D19" s="53" t="e">
        <f>#REF!</f>
        <v>#REF!</v>
      </c>
      <c r="E19" s="54" t="e">
        <f>#REF!</f>
        <v>#REF!</v>
      </c>
      <c r="F19" s="55" t="e">
        <f>#REF!</f>
        <v>#REF!</v>
      </c>
      <c r="G19" s="55" t="e">
        <f>#REF!</f>
        <v>#REF!</v>
      </c>
      <c r="H19" s="56" t="e">
        <f>#REF!</f>
        <v>#REF!</v>
      </c>
      <c r="I19" s="48" t="e">
        <f>#REF!</f>
        <v>#REF!</v>
      </c>
      <c r="J19" s="57" t="e">
        <f>#REF!</f>
        <v>#REF!</v>
      </c>
      <c r="K19" s="57" t="e">
        <f>#REF!</f>
        <v>#REF!</v>
      </c>
      <c r="L19" s="57" t="e">
        <f>#REF!</f>
        <v>#REF!</v>
      </c>
      <c r="M19" s="58" t="e">
        <f>#REF!</f>
        <v>#REF!</v>
      </c>
      <c r="N19" s="58" t="e">
        <f>#REF!</f>
        <v>#REF!</v>
      </c>
      <c r="O19" s="58" t="e">
        <f>#REF!</f>
        <v>#REF!</v>
      </c>
      <c r="P19" s="53" t="e">
        <f>#REF!</f>
        <v>#REF!</v>
      </c>
      <c r="R19" s="1"/>
      <c r="S19" s="1"/>
      <c r="T19" s="1"/>
    </row>
    <row r="20" spans="2:20" ht="32" customHeight="1">
      <c r="B20" s="42">
        <v>9</v>
      </c>
      <c r="C20" s="43" t="e">
        <f>#REF!</f>
        <v>#REF!</v>
      </c>
      <c r="D20" s="44" t="e">
        <f>#REF!</f>
        <v>#REF!</v>
      </c>
      <c r="E20" s="45" t="e">
        <f>#REF!</f>
        <v>#REF!</v>
      </c>
      <c r="F20" s="46" t="e">
        <f>#REF!</f>
        <v>#REF!</v>
      </c>
      <c r="G20" s="46" t="e">
        <f>#REF!</f>
        <v>#REF!</v>
      </c>
      <c r="H20" s="47" t="e">
        <f>#REF!</f>
        <v>#REF!</v>
      </c>
      <c r="I20" s="48" t="e">
        <f>#REF!</f>
        <v>#REF!</v>
      </c>
      <c r="J20" s="49" t="e">
        <f>#REF!</f>
        <v>#REF!</v>
      </c>
      <c r="K20" s="49" t="e">
        <f>#REF!</f>
        <v>#REF!</v>
      </c>
      <c r="L20" s="49" t="e">
        <f>#REF!</f>
        <v>#REF!</v>
      </c>
      <c r="M20" s="50" t="e">
        <f>#REF!</f>
        <v>#REF!</v>
      </c>
      <c r="N20" s="50" t="e">
        <f>#REF!</f>
        <v>#REF!</v>
      </c>
      <c r="O20" s="50" t="e">
        <f>#REF!</f>
        <v>#REF!</v>
      </c>
      <c r="P20" s="44" t="e">
        <f>#REF!</f>
        <v>#REF!</v>
      </c>
      <c r="R20" s="1"/>
      <c r="S20" s="1"/>
      <c r="T20" s="1"/>
    </row>
    <row r="21" spans="2:20" ht="32" customHeight="1">
      <c r="B21" s="51">
        <v>10</v>
      </c>
      <c r="C21" s="52" t="e">
        <f>#REF!</f>
        <v>#REF!</v>
      </c>
      <c r="D21" s="53" t="e">
        <f>#REF!</f>
        <v>#REF!</v>
      </c>
      <c r="E21" s="54" t="e">
        <f>#REF!</f>
        <v>#REF!</v>
      </c>
      <c r="F21" s="55" t="e">
        <f>#REF!</f>
        <v>#REF!</v>
      </c>
      <c r="G21" s="55" t="e">
        <f>#REF!</f>
        <v>#REF!</v>
      </c>
      <c r="H21" s="56" t="e">
        <f>#REF!</f>
        <v>#REF!</v>
      </c>
      <c r="I21" s="48" t="e">
        <f>#REF!</f>
        <v>#REF!</v>
      </c>
      <c r="J21" s="57" t="e">
        <f>#REF!</f>
        <v>#REF!</v>
      </c>
      <c r="K21" s="57" t="e">
        <f>#REF!</f>
        <v>#REF!</v>
      </c>
      <c r="L21" s="57" t="e">
        <f>#REF!</f>
        <v>#REF!</v>
      </c>
      <c r="M21" s="58" t="e">
        <f>#REF!</f>
        <v>#REF!</v>
      </c>
      <c r="N21" s="58" t="e">
        <f>#REF!</f>
        <v>#REF!</v>
      </c>
      <c r="O21" s="58" t="e">
        <f>#REF!</f>
        <v>#REF!</v>
      </c>
      <c r="P21" s="53" t="e">
        <f>#REF!</f>
        <v>#REF!</v>
      </c>
      <c r="R21" s="1"/>
      <c r="S21" s="1"/>
      <c r="T21" s="1"/>
    </row>
    <row r="22" spans="2:20" ht="32" customHeight="1">
      <c r="B22" s="42">
        <v>11</v>
      </c>
      <c r="C22" s="43" t="e">
        <f>#REF!</f>
        <v>#REF!</v>
      </c>
      <c r="D22" s="44" t="e">
        <f>#REF!</f>
        <v>#REF!</v>
      </c>
      <c r="E22" s="45" t="e">
        <f>#REF!</f>
        <v>#REF!</v>
      </c>
      <c r="F22" s="46" t="e">
        <f>#REF!</f>
        <v>#REF!</v>
      </c>
      <c r="G22" s="46" t="e">
        <f>#REF!</f>
        <v>#REF!</v>
      </c>
      <c r="H22" s="47" t="e">
        <f>#REF!</f>
        <v>#REF!</v>
      </c>
      <c r="I22" s="48" t="e">
        <f>#REF!</f>
        <v>#REF!</v>
      </c>
      <c r="J22" s="49" t="e">
        <f>#REF!</f>
        <v>#REF!</v>
      </c>
      <c r="K22" s="49" t="e">
        <f>#REF!</f>
        <v>#REF!</v>
      </c>
      <c r="L22" s="49" t="e">
        <f>#REF!</f>
        <v>#REF!</v>
      </c>
      <c r="M22" s="50" t="e">
        <f>#REF!</f>
        <v>#REF!</v>
      </c>
      <c r="N22" s="50" t="e">
        <f>#REF!</f>
        <v>#REF!</v>
      </c>
      <c r="O22" s="50" t="e">
        <f>#REF!</f>
        <v>#REF!</v>
      </c>
      <c r="P22" s="44" t="e">
        <f>#REF!</f>
        <v>#REF!</v>
      </c>
      <c r="R22" s="1"/>
      <c r="S22" s="1"/>
      <c r="T22" s="1"/>
    </row>
    <row r="23" spans="2:20" ht="32" customHeight="1">
      <c r="B23" s="51">
        <v>12</v>
      </c>
      <c r="C23" s="52" t="e">
        <f>#REF!</f>
        <v>#REF!</v>
      </c>
      <c r="D23" s="53" t="e">
        <f>#REF!</f>
        <v>#REF!</v>
      </c>
      <c r="E23" s="54" t="e">
        <f>#REF!</f>
        <v>#REF!</v>
      </c>
      <c r="F23" s="55" t="e">
        <f>#REF!</f>
        <v>#REF!</v>
      </c>
      <c r="G23" s="55" t="e">
        <f>#REF!</f>
        <v>#REF!</v>
      </c>
      <c r="H23" s="56" t="e">
        <f>#REF!</f>
        <v>#REF!</v>
      </c>
      <c r="I23" s="48" t="e">
        <f>#REF!</f>
        <v>#REF!</v>
      </c>
      <c r="J23" s="57" t="e">
        <f>#REF!</f>
        <v>#REF!</v>
      </c>
      <c r="K23" s="57" t="e">
        <f>#REF!</f>
        <v>#REF!</v>
      </c>
      <c r="L23" s="57" t="e">
        <f>#REF!</f>
        <v>#REF!</v>
      </c>
      <c r="M23" s="58" t="e">
        <f>#REF!</f>
        <v>#REF!</v>
      </c>
      <c r="N23" s="58" t="e">
        <f>#REF!</f>
        <v>#REF!</v>
      </c>
      <c r="O23" s="58" t="e">
        <f>#REF!</f>
        <v>#REF!</v>
      </c>
      <c r="P23" s="53" t="e">
        <f>#REF!</f>
        <v>#REF!</v>
      </c>
      <c r="R23" s="1"/>
      <c r="S23" s="1"/>
      <c r="T23" s="1"/>
    </row>
    <row r="24" spans="2:20" ht="32" customHeight="1">
      <c r="B24" s="42">
        <v>13</v>
      </c>
      <c r="C24" s="43" t="e">
        <f>#REF!</f>
        <v>#REF!</v>
      </c>
      <c r="D24" s="44" t="e">
        <f>#REF!</f>
        <v>#REF!</v>
      </c>
      <c r="E24" s="45" t="e">
        <f>#REF!</f>
        <v>#REF!</v>
      </c>
      <c r="F24" s="46" t="e">
        <f>#REF!</f>
        <v>#REF!</v>
      </c>
      <c r="G24" s="46" t="e">
        <f>#REF!</f>
        <v>#REF!</v>
      </c>
      <c r="H24" s="47" t="e">
        <f>#REF!</f>
        <v>#REF!</v>
      </c>
      <c r="I24" s="48" t="e">
        <f>#REF!</f>
        <v>#REF!</v>
      </c>
      <c r="J24" s="49" t="e">
        <f>#REF!</f>
        <v>#REF!</v>
      </c>
      <c r="K24" s="49" t="e">
        <f>#REF!</f>
        <v>#REF!</v>
      </c>
      <c r="L24" s="49" t="e">
        <f>#REF!</f>
        <v>#REF!</v>
      </c>
      <c r="M24" s="50" t="e">
        <f>#REF!</f>
        <v>#REF!</v>
      </c>
      <c r="N24" s="50" t="e">
        <f>#REF!</f>
        <v>#REF!</v>
      </c>
      <c r="O24" s="50" t="e">
        <f>#REF!</f>
        <v>#REF!</v>
      </c>
      <c r="P24" s="44" t="e">
        <f>#REF!</f>
        <v>#REF!</v>
      </c>
      <c r="R24" s="1"/>
      <c r="S24" s="1"/>
      <c r="T24" s="1"/>
    </row>
    <row r="25" spans="2:20" ht="32" customHeight="1">
      <c r="B25" s="51">
        <v>14</v>
      </c>
      <c r="C25" s="52" t="e">
        <f>#REF!</f>
        <v>#REF!</v>
      </c>
      <c r="D25" s="53" t="e">
        <f>#REF!</f>
        <v>#REF!</v>
      </c>
      <c r="E25" s="54" t="e">
        <f>#REF!</f>
        <v>#REF!</v>
      </c>
      <c r="F25" s="55" t="e">
        <f>#REF!</f>
        <v>#REF!</v>
      </c>
      <c r="G25" s="55" t="e">
        <f>#REF!</f>
        <v>#REF!</v>
      </c>
      <c r="H25" s="56" t="e">
        <f>#REF!</f>
        <v>#REF!</v>
      </c>
      <c r="I25" s="48" t="e">
        <f>#REF!</f>
        <v>#REF!</v>
      </c>
      <c r="J25" s="57" t="e">
        <f>#REF!</f>
        <v>#REF!</v>
      </c>
      <c r="K25" s="57" t="e">
        <f>#REF!</f>
        <v>#REF!</v>
      </c>
      <c r="L25" s="57" t="e">
        <f>#REF!</f>
        <v>#REF!</v>
      </c>
      <c r="M25" s="58" t="e">
        <f>#REF!</f>
        <v>#REF!</v>
      </c>
      <c r="N25" s="58" t="e">
        <f>#REF!</f>
        <v>#REF!</v>
      </c>
      <c r="O25" s="58" t="e">
        <f>#REF!</f>
        <v>#REF!</v>
      </c>
      <c r="P25" s="53" t="e">
        <f>#REF!</f>
        <v>#REF!</v>
      </c>
      <c r="R25" s="1"/>
      <c r="S25" s="1"/>
      <c r="T25" s="1"/>
    </row>
    <row r="26" spans="2:20" ht="32" customHeight="1">
      <c r="B26" s="42">
        <v>15</v>
      </c>
      <c r="C26" s="43" t="e">
        <f>#REF!</f>
        <v>#REF!</v>
      </c>
      <c r="D26" s="44" t="e">
        <f>#REF!</f>
        <v>#REF!</v>
      </c>
      <c r="E26" s="45" t="e">
        <f>#REF!</f>
        <v>#REF!</v>
      </c>
      <c r="F26" s="46" t="e">
        <f>#REF!</f>
        <v>#REF!</v>
      </c>
      <c r="G26" s="46" t="e">
        <f>#REF!</f>
        <v>#REF!</v>
      </c>
      <c r="H26" s="47" t="e">
        <f>#REF!</f>
        <v>#REF!</v>
      </c>
      <c r="I26" s="48" t="e">
        <f>#REF!</f>
        <v>#REF!</v>
      </c>
      <c r="J26" s="49" t="e">
        <f>#REF!</f>
        <v>#REF!</v>
      </c>
      <c r="K26" s="49" t="e">
        <f>#REF!</f>
        <v>#REF!</v>
      </c>
      <c r="L26" s="49" t="e">
        <f>#REF!</f>
        <v>#REF!</v>
      </c>
      <c r="M26" s="50" t="e">
        <f>#REF!</f>
        <v>#REF!</v>
      </c>
      <c r="N26" s="50" t="e">
        <f>#REF!</f>
        <v>#REF!</v>
      </c>
      <c r="O26" s="50" t="e">
        <f>#REF!</f>
        <v>#REF!</v>
      </c>
      <c r="P26" s="44" t="e">
        <f>#REF!</f>
        <v>#REF!</v>
      </c>
      <c r="R26" s="1"/>
      <c r="S26" s="1"/>
      <c r="T26" s="1"/>
    </row>
    <row r="27" spans="2:20" ht="32" customHeight="1">
      <c r="B27" s="51">
        <v>16</v>
      </c>
      <c r="C27" s="52" t="e">
        <f>#REF!</f>
        <v>#REF!</v>
      </c>
      <c r="D27" s="53" t="e">
        <f>#REF!</f>
        <v>#REF!</v>
      </c>
      <c r="E27" s="54" t="e">
        <f>#REF!</f>
        <v>#REF!</v>
      </c>
      <c r="F27" s="55" t="e">
        <f>#REF!</f>
        <v>#REF!</v>
      </c>
      <c r="G27" s="55" t="e">
        <f>#REF!</f>
        <v>#REF!</v>
      </c>
      <c r="H27" s="56" t="e">
        <f>#REF!</f>
        <v>#REF!</v>
      </c>
      <c r="I27" s="48" t="e">
        <f>#REF!</f>
        <v>#REF!</v>
      </c>
      <c r="J27" s="57" t="e">
        <f>#REF!</f>
        <v>#REF!</v>
      </c>
      <c r="K27" s="57" t="e">
        <f>#REF!</f>
        <v>#REF!</v>
      </c>
      <c r="L27" s="57" t="e">
        <f>#REF!</f>
        <v>#REF!</v>
      </c>
      <c r="M27" s="58" t="e">
        <f>#REF!</f>
        <v>#REF!</v>
      </c>
      <c r="N27" s="58" t="e">
        <f>#REF!</f>
        <v>#REF!</v>
      </c>
      <c r="O27" s="58" t="e">
        <f>#REF!</f>
        <v>#REF!</v>
      </c>
      <c r="P27" s="53" t="e">
        <f>#REF!</f>
        <v>#REF!</v>
      </c>
      <c r="R27" s="1"/>
      <c r="S27" s="1"/>
      <c r="T27" s="1"/>
    </row>
    <row r="28" spans="2:20" ht="32" customHeight="1">
      <c r="B28" s="42">
        <v>17</v>
      </c>
      <c r="C28" s="43" t="e">
        <f>#REF!</f>
        <v>#REF!</v>
      </c>
      <c r="D28" s="44" t="e">
        <f>#REF!</f>
        <v>#REF!</v>
      </c>
      <c r="E28" s="45" t="e">
        <f>#REF!</f>
        <v>#REF!</v>
      </c>
      <c r="F28" s="46" t="e">
        <f>#REF!</f>
        <v>#REF!</v>
      </c>
      <c r="G28" s="46" t="e">
        <f>#REF!</f>
        <v>#REF!</v>
      </c>
      <c r="H28" s="47" t="e">
        <f>#REF!</f>
        <v>#REF!</v>
      </c>
      <c r="I28" s="48" t="e">
        <f>#REF!</f>
        <v>#REF!</v>
      </c>
      <c r="J28" s="49" t="e">
        <f>#REF!</f>
        <v>#REF!</v>
      </c>
      <c r="K28" s="49" t="e">
        <f>#REF!</f>
        <v>#REF!</v>
      </c>
      <c r="L28" s="49" t="e">
        <f>#REF!</f>
        <v>#REF!</v>
      </c>
      <c r="M28" s="50" t="e">
        <f>#REF!</f>
        <v>#REF!</v>
      </c>
      <c r="N28" s="50" t="e">
        <f>#REF!</f>
        <v>#REF!</v>
      </c>
      <c r="O28" s="50" t="e">
        <f>#REF!</f>
        <v>#REF!</v>
      </c>
      <c r="P28" s="44" t="e">
        <f>#REF!</f>
        <v>#REF!</v>
      </c>
      <c r="R28" s="1"/>
      <c r="S28" s="1"/>
      <c r="T28" s="1"/>
    </row>
    <row r="29" spans="2:20" ht="32" customHeight="1">
      <c r="B29" s="51">
        <v>18</v>
      </c>
      <c r="C29" s="52" t="e">
        <f>#REF!</f>
        <v>#REF!</v>
      </c>
      <c r="D29" s="53" t="e">
        <f>#REF!</f>
        <v>#REF!</v>
      </c>
      <c r="E29" s="54" t="e">
        <f>#REF!</f>
        <v>#REF!</v>
      </c>
      <c r="F29" s="55" t="e">
        <f>#REF!</f>
        <v>#REF!</v>
      </c>
      <c r="G29" s="55" t="e">
        <f>#REF!</f>
        <v>#REF!</v>
      </c>
      <c r="H29" s="56" t="e">
        <f>#REF!</f>
        <v>#REF!</v>
      </c>
      <c r="I29" s="48" t="e">
        <f>#REF!</f>
        <v>#REF!</v>
      </c>
      <c r="J29" s="57" t="e">
        <f>#REF!</f>
        <v>#REF!</v>
      </c>
      <c r="K29" s="57" t="e">
        <f>#REF!</f>
        <v>#REF!</v>
      </c>
      <c r="L29" s="57" t="e">
        <f>#REF!</f>
        <v>#REF!</v>
      </c>
      <c r="M29" s="58" t="e">
        <f>#REF!</f>
        <v>#REF!</v>
      </c>
      <c r="N29" s="58" t="e">
        <f>#REF!</f>
        <v>#REF!</v>
      </c>
      <c r="O29" s="58" t="e">
        <f>#REF!</f>
        <v>#REF!</v>
      </c>
      <c r="P29" s="53" t="e">
        <f>#REF!</f>
        <v>#REF!</v>
      </c>
      <c r="R29" s="1"/>
      <c r="S29" s="1"/>
      <c r="T29" s="1"/>
    </row>
    <row r="30" spans="2:20" ht="32" customHeight="1">
      <c r="B30" s="42">
        <v>19</v>
      </c>
      <c r="C30" s="43" t="e">
        <f>#REF!</f>
        <v>#REF!</v>
      </c>
      <c r="D30" s="44" t="e">
        <f>#REF!</f>
        <v>#REF!</v>
      </c>
      <c r="E30" s="45" t="e">
        <f>#REF!</f>
        <v>#REF!</v>
      </c>
      <c r="F30" s="46" t="e">
        <f>#REF!</f>
        <v>#REF!</v>
      </c>
      <c r="G30" s="46" t="e">
        <f>#REF!</f>
        <v>#REF!</v>
      </c>
      <c r="H30" s="47" t="e">
        <f>#REF!</f>
        <v>#REF!</v>
      </c>
      <c r="I30" s="48" t="e">
        <f>#REF!</f>
        <v>#REF!</v>
      </c>
      <c r="J30" s="49" t="e">
        <f>#REF!</f>
        <v>#REF!</v>
      </c>
      <c r="K30" s="49" t="e">
        <f>#REF!</f>
        <v>#REF!</v>
      </c>
      <c r="L30" s="49" t="e">
        <f>#REF!</f>
        <v>#REF!</v>
      </c>
      <c r="M30" s="50" t="e">
        <f>#REF!</f>
        <v>#REF!</v>
      </c>
      <c r="N30" s="50" t="e">
        <f>#REF!</f>
        <v>#REF!</v>
      </c>
      <c r="O30" s="50" t="e">
        <f>#REF!</f>
        <v>#REF!</v>
      </c>
      <c r="P30" s="44" t="e">
        <f>#REF!</f>
        <v>#REF!</v>
      </c>
      <c r="R30" s="1"/>
      <c r="S30" s="1"/>
      <c r="T30" s="1"/>
    </row>
    <row r="31" spans="2:20" ht="28" customHeight="1">
      <c r="B31" s="59"/>
      <c r="C31" s="60" t="s">
        <v>576</v>
      </c>
      <c r="D31" s="59"/>
      <c r="E31" s="59"/>
      <c r="F31" s="59"/>
      <c r="G31" s="59"/>
      <c r="H31" s="61" t="s">
        <v>577</v>
      </c>
      <c r="I31" s="62"/>
      <c r="J31" s="63"/>
      <c r="K31" s="63"/>
      <c r="L31" s="63"/>
      <c r="M31" s="59"/>
      <c r="N31" s="59"/>
      <c r="O31" s="59"/>
      <c r="P31" s="59"/>
      <c r="R31" s="1"/>
      <c r="S31" s="1"/>
      <c r="T31" s="1"/>
    </row>
    <row r="32" spans="2:20" ht="32" customHeight="1">
      <c r="B32" s="51">
        <v>20</v>
      </c>
      <c r="C32" s="52" t="e">
        <f>#REF!</f>
        <v>#REF!</v>
      </c>
      <c r="D32" s="53" t="e">
        <f>#REF!</f>
        <v>#REF!</v>
      </c>
      <c r="E32" s="54" t="e">
        <f>#REF!</f>
        <v>#REF!</v>
      </c>
      <c r="F32" s="55" t="e">
        <f>#REF!</f>
        <v>#REF!</v>
      </c>
      <c r="G32" s="55" t="e">
        <f>#REF!</f>
        <v>#REF!</v>
      </c>
      <c r="H32" s="56" t="e">
        <f>#REF!</f>
        <v>#REF!</v>
      </c>
      <c r="I32" s="64" t="e">
        <f>#REF!</f>
        <v>#REF!</v>
      </c>
      <c r="J32" s="57" t="e">
        <f>#REF!</f>
        <v>#REF!</v>
      </c>
      <c r="K32" s="57" t="e">
        <f>#REF!</f>
        <v>#REF!</v>
      </c>
      <c r="L32" s="57" t="e">
        <f>#REF!</f>
        <v>#REF!</v>
      </c>
      <c r="M32" s="58" t="e">
        <f>#REF!</f>
        <v>#REF!</v>
      </c>
      <c r="N32" s="58" t="e">
        <f>#REF!</f>
        <v>#REF!</v>
      </c>
      <c r="O32" s="58" t="e">
        <f>#REF!</f>
        <v>#REF!</v>
      </c>
      <c r="P32" s="53" t="e">
        <f>#REF!</f>
        <v>#REF!</v>
      </c>
      <c r="R32" s="1"/>
      <c r="S32" s="1"/>
      <c r="T32" s="1"/>
    </row>
    <row r="33" spans="2:20" ht="32" customHeight="1">
      <c r="B33" s="42">
        <v>21</v>
      </c>
      <c r="C33" s="43" t="e">
        <f>#REF!</f>
        <v>#REF!</v>
      </c>
      <c r="D33" s="44" t="e">
        <f>#REF!</f>
        <v>#REF!</v>
      </c>
      <c r="E33" s="45" t="e">
        <f>#REF!</f>
        <v>#REF!</v>
      </c>
      <c r="F33" s="46" t="e">
        <f>#REF!</f>
        <v>#REF!</v>
      </c>
      <c r="G33" s="46" t="e">
        <f>#REF!</f>
        <v>#REF!</v>
      </c>
      <c r="H33" s="47" t="e">
        <f>#REF!</f>
        <v>#REF!</v>
      </c>
      <c r="I33" s="64" t="e">
        <f>#REF!</f>
        <v>#REF!</v>
      </c>
      <c r="J33" s="49" t="e">
        <f>#REF!</f>
        <v>#REF!</v>
      </c>
      <c r="K33" s="49" t="e">
        <f>#REF!</f>
        <v>#REF!</v>
      </c>
      <c r="L33" s="49" t="e">
        <f>#REF!</f>
        <v>#REF!</v>
      </c>
      <c r="M33" s="50" t="e">
        <f>#REF!</f>
        <v>#REF!</v>
      </c>
      <c r="N33" s="50" t="e">
        <f>#REF!</f>
        <v>#REF!</v>
      </c>
      <c r="O33" s="50" t="e">
        <f>#REF!</f>
        <v>#REF!</v>
      </c>
      <c r="P33" s="44" t="e">
        <f>#REF!</f>
        <v>#REF!</v>
      </c>
      <c r="R33" s="1"/>
      <c r="S33" s="1"/>
      <c r="T33" s="1"/>
    </row>
    <row r="34" spans="2:20" ht="32" customHeight="1">
      <c r="B34" s="51">
        <v>22</v>
      </c>
      <c r="C34" s="52" t="e">
        <f>#REF!</f>
        <v>#REF!</v>
      </c>
      <c r="D34" s="53" t="e">
        <f>#REF!</f>
        <v>#REF!</v>
      </c>
      <c r="E34" s="54" t="e">
        <f>#REF!</f>
        <v>#REF!</v>
      </c>
      <c r="F34" s="55" t="e">
        <f>#REF!</f>
        <v>#REF!</v>
      </c>
      <c r="G34" s="55" t="e">
        <f>#REF!</f>
        <v>#REF!</v>
      </c>
      <c r="H34" s="56" t="e">
        <f>#REF!</f>
        <v>#REF!</v>
      </c>
      <c r="I34" s="64" t="e">
        <f>#REF!</f>
        <v>#REF!</v>
      </c>
      <c r="J34" s="57" t="e">
        <f>#REF!</f>
        <v>#REF!</v>
      </c>
      <c r="K34" s="57" t="e">
        <f>#REF!</f>
        <v>#REF!</v>
      </c>
      <c r="L34" s="57" t="e">
        <f>#REF!</f>
        <v>#REF!</v>
      </c>
      <c r="M34" s="58" t="e">
        <f>#REF!</f>
        <v>#REF!</v>
      </c>
      <c r="N34" s="58" t="e">
        <f>#REF!</f>
        <v>#REF!</v>
      </c>
      <c r="O34" s="58" t="e">
        <f>#REF!</f>
        <v>#REF!</v>
      </c>
      <c r="P34" s="53" t="e">
        <f>#REF!</f>
        <v>#REF!</v>
      </c>
      <c r="R34" s="1"/>
      <c r="S34" s="1"/>
      <c r="T34" s="1"/>
    </row>
    <row r="35" spans="2:20" ht="32" customHeight="1">
      <c r="B35" s="42">
        <v>23</v>
      </c>
      <c r="C35" s="43" t="e">
        <f>#REF!</f>
        <v>#REF!</v>
      </c>
      <c r="D35" s="44" t="e">
        <f>#REF!</f>
        <v>#REF!</v>
      </c>
      <c r="E35" s="45" t="e">
        <f>#REF!</f>
        <v>#REF!</v>
      </c>
      <c r="F35" s="46" t="e">
        <f>#REF!</f>
        <v>#REF!</v>
      </c>
      <c r="G35" s="46" t="e">
        <f>#REF!</f>
        <v>#REF!</v>
      </c>
      <c r="H35" s="47" t="e">
        <f>#REF!</f>
        <v>#REF!</v>
      </c>
      <c r="I35" s="64" t="e">
        <f>#REF!</f>
        <v>#REF!</v>
      </c>
      <c r="J35" s="49" t="e">
        <f>#REF!</f>
        <v>#REF!</v>
      </c>
      <c r="K35" s="49" t="e">
        <f>#REF!</f>
        <v>#REF!</v>
      </c>
      <c r="L35" s="49" t="e">
        <f>#REF!</f>
        <v>#REF!</v>
      </c>
      <c r="M35" s="50" t="e">
        <f>#REF!</f>
        <v>#REF!</v>
      </c>
      <c r="N35" s="50" t="e">
        <f>#REF!</f>
        <v>#REF!</v>
      </c>
      <c r="O35" s="50" t="e">
        <f>#REF!</f>
        <v>#REF!</v>
      </c>
      <c r="P35" s="44" t="e">
        <f>#REF!</f>
        <v>#REF!</v>
      </c>
      <c r="R35" s="1"/>
      <c r="S35" s="1"/>
      <c r="T35" s="1"/>
    </row>
    <row r="36" spans="2:20" ht="32" customHeight="1">
      <c r="B36" s="51">
        <v>24</v>
      </c>
      <c r="C36" s="52" t="e">
        <f>#REF!</f>
        <v>#REF!</v>
      </c>
      <c r="D36" s="53" t="e">
        <f>#REF!</f>
        <v>#REF!</v>
      </c>
      <c r="E36" s="54" t="e">
        <f>#REF!</f>
        <v>#REF!</v>
      </c>
      <c r="F36" s="55" t="e">
        <f>#REF!</f>
        <v>#REF!</v>
      </c>
      <c r="G36" s="55" t="e">
        <f>#REF!</f>
        <v>#REF!</v>
      </c>
      <c r="H36" s="56" t="e">
        <f>#REF!</f>
        <v>#REF!</v>
      </c>
      <c r="I36" s="64" t="e">
        <f>#REF!</f>
        <v>#REF!</v>
      </c>
      <c r="J36" s="57" t="e">
        <f>#REF!</f>
        <v>#REF!</v>
      </c>
      <c r="K36" s="57" t="e">
        <f>#REF!</f>
        <v>#REF!</v>
      </c>
      <c r="L36" s="57" t="e">
        <f>#REF!</f>
        <v>#REF!</v>
      </c>
      <c r="M36" s="58" t="e">
        <f>#REF!</f>
        <v>#REF!</v>
      </c>
      <c r="N36" s="58" t="e">
        <f>#REF!</f>
        <v>#REF!</v>
      </c>
      <c r="O36" s="58" t="e">
        <f>#REF!</f>
        <v>#REF!</v>
      </c>
      <c r="P36" s="53" t="e">
        <f>#REF!</f>
        <v>#REF!</v>
      </c>
      <c r="R36" s="1"/>
      <c r="S36" s="1"/>
      <c r="T36" s="1"/>
    </row>
    <row r="37" spans="2:20" ht="32" customHeight="1">
      <c r="B37" s="42">
        <v>25</v>
      </c>
      <c r="C37" s="43" t="e">
        <f>#REF!</f>
        <v>#REF!</v>
      </c>
      <c r="D37" s="44" t="e">
        <f>#REF!</f>
        <v>#REF!</v>
      </c>
      <c r="E37" s="45" t="e">
        <f>#REF!</f>
        <v>#REF!</v>
      </c>
      <c r="F37" s="46" t="e">
        <f>#REF!</f>
        <v>#REF!</v>
      </c>
      <c r="G37" s="46" t="e">
        <f>#REF!</f>
        <v>#REF!</v>
      </c>
      <c r="H37" s="47" t="e">
        <f>#REF!</f>
        <v>#REF!</v>
      </c>
      <c r="I37" s="64" t="e">
        <f>#REF!</f>
        <v>#REF!</v>
      </c>
      <c r="J37" s="49" t="e">
        <f>#REF!</f>
        <v>#REF!</v>
      </c>
      <c r="K37" s="49" t="e">
        <f>#REF!</f>
        <v>#REF!</v>
      </c>
      <c r="L37" s="49" t="e">
        <f>#REF!</f>
        <v>#REF!</v>
      </c>
      <c r="M37" s="50" t="e">
        <f>#REF!</f>
        <v>#REF!</v>
      </c>
      <c r="N37" s="50" t="e">
        <f>#REF!</f>
        <v>#REF!</v>
      </c>
      <c r="O37" s="50" t="e">
        <f>#REF!</f>
        <v>#REF!</v>
      </c>
      <c r="P37" s="44" t="e">
        <f>#REF!</f>
        <v>#REF!</v>
      </c>
      <c r="R37" s="1"/>
      <c r="S37" s="1"/>
      <c r="T37" s="1"/>
    </row>
    <row r="38" spans="2:20" ht="28" customHeight="1">
      <c r="B38" s="65"/>
      <c r="C38" s="66" t="s">
        <v>578</v>
      </c>
      <c r="D38" s="65"/>
      <c r="E38" s="65"/>
      <c r="F38" s="65"/>
      <c r="G38" s="65"/>
      <c r="H38" s="67" t="s">
        <v>579</v>
      </c>
      <c r="I38" s="68"/>
      <c r="J38" s="69"/>
      <c r="K38" s="69"/>
      <c r="L38" s="69"/>
      <c r="M38" s="65"/>
      <c r="N38" s="65"/>
      <c r="O38" s="65"/>
      <c r="P38" s="65"/>
      <c r="R38" s="1"/>
      <c r="S38" s="1"/>
      <c r="T38" s="1"/>
    </row>
    <row r="39" spans="2:20" ht="32" customHeight="1">
      <c r="B39" s="51">
        <v>26</v>
      </c>
      <c r="C39" s="52" t="e">
        <f>#REF!</f>
        <v>#REF!</v>
      </c>
      <c r="D39" s="53" t="e">
        <f>#REF!</f>
        <v>#REF!</v>
      </c>
      <c r="E39" s="54" t="e">
        <f>#REF!</f>
        <v>#REF!</v>
      </c>
      <c r="F39" s="55" t="e">
        <f>#REF!</f>
        <v>#REF!</v>
      </c>
      <c r="G39" s="55" t="e">
        <f>#REF!</f>
        <v>#REF!</v>
      </c>
      <c r="H39" s="56" t="e">
        <f>#REF!</f>
        <v>#REF!</v>
      </c>
      <c r="I39" s="70" t="e">
        <f>#REF!</f>
        <v>#REF!</v>
      </c>
      <c r="J39" s="57" t="e">
        <f>#REF!</f>
        <v>#REF!</v>
      </c>
      <c r="K39" s="57" t="e">
        <f>#REF!</f>
        <v>#REF!</v>
      </c>
      <c r="L39" s="57" t="e">
        <f>#REF!</f>
        <v>#REF!</v>
      </c>
      <c r="M39" s="58" t="e">
        <f>#REF!</f>
        <v>#REF!</v>
      </c>
      <c r="N39" s="58" t="e">
        <f>#REF!</f>
        <v>#REF!</v>
      </c>
      <c r="O39" s="58" t="e">
        <f>#REF!</f>
        <v>#REF!</v>
      </c>
      <c r="P39" s="53" t="e">
        <f>#REF!</f>
        <v>#REF!</v>
      </c>
      <c r="R39" s="1"/>
      <c r="S39" s="1"/>
      <c r="T39" s="1"/>
    </row>
    <row r="40" spans="2:20" ht="32" customHeight="1">
      <c r="B40" s="42">
        <v>27</v>
      </c>
      <c r="C40" s="43" t="e">
        <f>#REF!</f>
        <v>#REF!</v>
      </c>
      <c r="D40" s="44" t="e">
        <f>#REF!</f>
        <v>#REF!</v>
      </c>
      <c r="E40" s="45" t="e">
        <f>#REF!</f>
        <v>#REF!</v>
      </c>
      <c r="F40" s="46" t="e">
        <f>#REF!</f>
        <v>#REF!</v>
      </c>
      <c r="G40" s="46" t="e">
        <f>#REF!</f>
        <v>#REF!</v>
      </c>
      <c r="H40" s="47" t="e">
        <f>#REF!</f>
        <v>#REF!</v>
      </c>
      <c r="I40" s="70" t="e">
        <f>#REF!</f>
        <v>#REF!</v>
      </c>
      <c r="J40" s="49" t="e">
        <f>#REF!</f>
        <v>#REF!</v>
      </c>
      <c r="K40" s="49" t="e">
        <f>#REF!</f>
        <v>#REF!</v>
      </c>
      <c r="L40" s="49" t="e">
        <f>#REF!</f>
        <v>#REF!</v>
      </c>
      <c r="M40" s="50" t="e">
        <f>#REF!</f>
        <v>#REF!</v>
      </c>
      <c r="N40" s="50" t="e">
        <f>#REF!</f>
        <v>#REF!</v>
      </c>
      <c r="O40" s="50" t="e">
        <f>#REF!</f>
        <v>#REF!</v>
      </c>
      <c r="P40" s="44" t="e">
        <f>#REF!</f>
        <v>#REF!</v>
      </c>
      <c r="R40" s="1"/>
      <c r="S40" s="1"/>
      <c r="T40" s="1"/>
    </row>
    <row r="41" spans="2:20" ht="32" customHeight="1">
      <c r="B41" s="51">
        <v>28</v>
      </c>
      <c r="C41" s="52" t="e">
        <f>#REF!</f>
        <v>#REF!</v>
      </c>
      <c r="D41" s="53" t="e">
        <f>#REF!</f>
        <v>#REF!</v>
      </c>
      <c r="E41" s="54" t="e">
        <f>#REF!</f>
        <v>#REF!</v>
      </c>
      <c r="F41" s="55" t="e">
        <f>#REF!</f>
        <v>#REF!</v>
      </c>
      <c r="G41" s="55" t="e">
        <f>#REF!</f>
        <v>#REF!</v>
      </c>
      <c r="H41" s="56" t="e">
        <f>#REF!</f>
        <v>#REF!</v>
      </c>
      <c r="I41" s="70" t="e">
        <f>#REF!</f>
        <v>#REF!</v>
      </c>
      <c r="J41" s="57" t="e">
        <f>#REF!</f>
        <v>#REF!</v>
      </c>
      <c r="K41" s="57" t="e">
        <f>#REF!</f>
        <v>#REF!</v>
      </c>
      <c r="L41" s="57" t="e">
        <f>#REF!</f>
        <v>#REF!</v>
      </c>
      <c r="M41" s="58" t="e">
        <f>#REF!</f>
        <v>#REF!</v>
      </c>
      <c r="N41" s="58" t="e">
        <f>#REF!</f>
        <v>#REF!</v>
      </c>
      <c r="O41" s="58" t="e">
        <f>#REF!</f>
        <v>#REF!</v>
      </c>
      <c r="P41" s="53" t="e">
        <f>#REF!</f>
        <v>#REF!</v>
      </c>
      <c r="R41" s="1"/>
      <c r="S41" s="1"/>
      <c r="T41" s="1"/>
    </row>
    <row r="42" spans="2:20" ht="32" customHeight="1">
      <c r="B42" s="42">
        <v>29</v>
      </c>
      <c r="C42" s="43" t="e">
        <f>#REF!</f>
        <v>#REF!</v>
      </c>
      <c r="D42" s="44" t="e">
        <f>#REF!</f>
        <v>#REF!</v>
      </c>
      <c r="E42" s="45" t="e">
        <f>#REF!</f>
        <v>#REF!</v>
      </c>
      <c r="F42" s="46" t="e">
        <f>#REF!</f>
        <v>#REF!</v>
      </c>
      <c r="G42" s="46" t="e">
        <f>#REF!</f>
        <v>#REF!</v>
      </c>
      <c r="H42" s="47" t="e">
        <f>#REF!</f>
        <v>#REF!</v>
      </c>
      <c r="I42" s="70" t="e">
        <f>#REF!</f>
        <v>#REF!</v>
      </c>
      <c r="J42" s="49" t="e">
        <f>#REF!</f>
        <v>#REF!</v>
      </c>
      <c r="K42" s="49" t="e">
        <f>#REF!</f>
        <v>#REF!</v>
      </c>
      <c r="L42" s="49" t="e">
        <f>#REF!</f>
        <v>#REF!</v>
      </c>
      <c r="M42" s="50" t="e">
        <f>#REF!</f>
        <v>#REF!</v>
      </c>
      <c r="N42" s="50" t="e">
        <f>#REF!</f>
        <v>#REF!</v>
      </c>
      <c r="O42" s="50" t="e">
        <f>#REF!</f>
        <v>#REF!</v>
      </c>
      <c r="P42" s="44" t="e">
        <f>#REF!</f>
        <v>#REF!</v>
      </c>
      <c r="R42" s="1"/>
      <c r="S42" s="1"/>
      <c r="T42" s="1"/>
    </row>
    <row r="43" spans="2:20" ht="32" customHeight="1">
      <c r="B43" s="51">
        <v>30</v>
      </c>
      <c r="C43" s="52" t="e">
        <f>#REF!</f>
        <v>#REF!</v>
      </c>
      <c r="D43" s="53" t="e">
        <f>#REF!</f>
        <v>#REF!</v>
      </c>
      <c r="E43" s="54" t="e">
        <f>#REF!</f>
        <v>#REF!</v>
      </c>
      <c r="F43" s="55" t="e">
        <f>#REF!</f>
        <v>#REF!</v>
      </c>
      <c r="G43" s="55" t="e">
        <f>#REF!</f>
        <v>#REF!</v>
      </c>
      <c r="H43" s="56" t="e">
        <f>#REF!</f>
        <v>#REF!</v>
      </c>
      <c r="I43" s="70" t="e">
        <f>#REF!</f>
        <v>#REF!</v>
      </c>
      <c r="J43" s="57" t="e">
        <f>#REF!</f>
        <v>#REF!</v>
      </c>
      <c r="K43" s="57" t="e">
        <f>#REF!</f>
        <v>#REF!</v>
      </c>
      <c r="L43" s="57" t="e">
        <f>#REF!</f>
        <v>#REF!</v>
      </c>
      <c r="M43" s="58" t="e">
        <f>#REF!</f>
        <v>#REF!</v>
      </c>
      <c r="N43" s="58" t="e">
        <f>#REF!</f>
        <v>#REF!</v>
      </c>
      <c r="O43" s="58" t="e">
        <f>#REF!</f>
        <v>#REF!</v>
      </c>
      <c r="P43" s="53" t="e">
        <f>#REF!</f>
        <v>#REF!</v>
      </c>
      <c r="R43" s="1"/>
      <c r="S43" s="1"/>
      <c r="T43" s="1"/>
    </row>
    <row r="44" spans="2:20" ht="32" customHeight="1">
      <c r="B44" s="42">
        <v>31</v>
      </c>
      <c r="C44" s="43" t="e">
        <f>#REF!</f>
        <v>#REF!</v>
      </c>
      <c r="D44" s="44" t="e">
        <f>#REF!</f>
        <v>#REF!</v>
      </c>
      <c r="E44" s="45" t="e">
        <f>#REF!</f>
        <v>#REF!</v>
      </c>
      <c r="F44" s="46" t="e">
        <f>#REF!</f>
        <v>#REF!</v>
      </c>
      <c r="G44" s="46" t="e">
        <f>#REF!</f>
        <v>#REF!</v>
      </c>
      <c r="H44" s="47" t="e">
        <f>#REF!</f>
        <v>#REF!</v>
      </c>
      <c r="I44" s="70" t="e">
        <f>#REF!</f>
        <v>#REF!</v>
      </c>
      <c r="J44" s="49" t="e">
        <f>#REF!</f>
        <v>#REF!</v>
      </c>
      <c r="K44" s="49" t="e">
        <f>#REF!</f>
        <v>#REF!</v>
      </c>
      <c r="L44" s="49" t="e">
        <f>#REF!</f>
        <v>#REF!</v>
      </c>
      <c r="M44" s="50" t="e">
        <f>#REF!</f>
        <v>#REF!</v>
      </c>
      <c r="N44" s="50" t="e">
        <f>#REF!</f>
        <v>#REF!</v>
      </c>
      <c r="O44" s="50" t="e">
        <f>#REF!</f>
        <v>#REF!</v>
      </c>
      <c r="P44" s="44" t="e">
        <f>#REF!</f>
        <v>#REF!</v>
      </c>
      <c r="R44" s="1"/>
      <c r="S44" s="1"/>
      <c r="T44" s="1"/>
    </row>
    <row r="45" spans="2:20" ht="32" customHeight="1">
      <c r="B45" s="51">
        <v>32</v>
      </c>
      <c r="C45" s="52" t="e">
        <f>#REF!</f>
        <v>#REF!</v>
      </c>
      <c r="D45" s="53" t="e">
        <f>#REF!</f>
        <v>#REF!</v>
      </c>
      <c r="E45" s="54" t="e">
        <f>#REF!</f>
        <v>#REF!</v>
      </c>
      <c r="F45" s="55" t="e">
        <f>#REF!</f>
        <v>#REF!</v>
      </c>
      <c r="G45" s="55" t="e">
        <f>#REF!</f>
        <v>#REF!</v>
      </c>
      <c r="H45" s="56" t="e">
        <f>#REF!</f>
        <v>#REF!</v>
      </c>
      <c r="I45" s="70" t="e">
        <f>#REF!</f>
        <v>#REF!</v>
      </c>
      <c r="J45" s="57" t="e">
        <f>#REF!</f>
        <v>#REF!</v>
      </c>
      <c r="K45" s="57" t="e">
        <f>#REF!</f>
        <v>#REF!</v>
      </c>
      <c r="L45" s="57" t="e">
        <f>#REF!</f>
        <v>#REF!</v>
      </c>
      <c r="M45" s="58" t="e">
        <f>#REF!</f>
        <v>#REF!</v>
      </c>
      <c r="N45" s="58" t="e">
        <f>#REF!</f>
        <v>#REF!</v>
      </c>
      <c r="O45" s="58" t="e">
        <f>#REF!</f>
        <v>#REF!</v>
      </c>
      <c r="P45" s="53" t="e">
        <f>#REF!</f>
        <v>#REF!</v>
      </c>
      <c r="R45" s="1"/>
      <c r="S45" s="1"/>
      <c r="T45" s="1"/>
    </row>
    <row r="46" spans="2:20" ht="32" customHeight="1">
      <c r="B46" s="42">
        <v>33</v>
      </c>
      <c r="C46" s="43" t="e">
        <f>#REF!</f>
        <v>#REF!</v>
      </c>
      <c r="D46" s="44" t="e">
        <f>#REF!</f>
        <v>#REF!</v>
      </c>
      <c r="E46" s="45" t="e">
        <f>#REF!</f>
        <v>#REF!</v>
      </c>
      <c r="F46" s="46" t="e">
        <f>#REF!</f>
        <v>#REF!</v>
      </c>
      <c r="G46" s="46" t="e">
        <f>#REF!</f>
        <v>#REF!</v>
      </c>
      <c r="H46" s="47" t="e">
        <f>#REF!</f>
        <v>#REF!</v>
      </c>
      <c r="I46" s="70" t="e">
        <f>#REF!</f>
        <v>#REF!</v>
      </c>
      <c r="J46" s="49" t="e">
        <f>#REF!</f>
        <v>#REF!</v>
      </c>
      <c r="K46" s="49" t="e">
        <f>#REF!</f>
        <v>#REF!</v>
      </c>
      <c r="L46" s="49" t="e">
        <f>#REF!</f>
        <v>#REF!</v>
      </c>
      <c r="M46" s="50" t="e">
        <f>#REF!</f>
        <v>#REF!</v>
      </c>
      <c r="N46" s="50" t="e">
        <f>#REF!</f>
        <v>#REF!</v>
      </c>
      <c r="O46" s="50" t="e">
        <f>#REF!</f>
        <v>#REF!</v>
      </c>
      <c r="P46" s="44" t="e">
        <f>#REF!</f>
        <v>#REF!</v>
      </c>
      <c r="R46" s="1"/>
      <c r="S46" s="1"/>
      <c r="T46" s="1"/>
    </row>
    <row r="47" spans="2:20" ht="32" customHeight="1">
      <c r="B47" s="51">
        <v>34</v>
      </c>
      <c r="C47" s="52" t="e">
        <f>#REF!</f>
        <v>#REF!</v>
      </c>
      <c r="D47" s="53" t="e">
        <f>#REF!</f>
        <v>#REF!</v>
      </c>
      <c r="E47" s="54" t="e">
        <f>#REF!</f>
        <v>#REF!</v>
      </c>
      <c r="F47" s="55" t="e">
        <f>#REF!</f>
        <v>#REF!</v>
      </c>
      <c r="G47" s="55" t="e">
        <f>#REF!</f>
        <v>#REF!</v>
      </c>
      <c r="H47" s="56" t="e">
        <f>#REF!</f>
        <v>#REF!</v>
      </c>
      <c r="I47" s="70" t="e">
        <f>#REF!</f>
        <v>#REF!</v>
      </c>
      <c r="J47" s="57" t="e">
        <f>#REF!</f>
        <v>#REF!</v>
      </c>
      <c r="K47" s="57" t="e">
        <f>#REF!</f>
        <v>#REF!</v>
      </c>
      <c r="L47" s="57" t="e">
        <f>#REF!</f>
        <v>#REF!</v>
      </c>
      <c r="M47" s="58" t="e">
        <f>#REF!</f>
        <v>#REF!</v>
      </c>
      <c r="N47" s="58" t="e">
        <f>#REF!</f>
        <v>#REF!</v>
      </c>
      <c r="O47" s="58" t="e">
        <f>#REF!</f>
        <v>#REF!</v>
      </c>
      <c r="P47" s="53" t="e">
        <f>#REF!</f>
        <v>#REF!</v>
      </c>
      <c r="R47" s="1"/>
      <c r="S47" s="1"/>
      <c r="T47" s="1"/>
    </row>
    <row r="48" spans="2:20" ht="32" customHeight="1">
      <c r="B48" s="42">
        <v>35</v>
      </c>
      <c r="C48" s="43" t="e">
        <f>#REF!</f>
        <v>#REF!</v>
      </c>
      <c r="D48" s="44" t="e">
        <f>#REF!</f>
        <v>#REF!</v>
      </c>
      <c r="E48" s="45" t="e">
        <f>#REF!</f>
        <v>#REF!</v>
      </c>
      <c r="F48" s="46" t="e">
        <f>#REF!</f>
        <v>#REF!</v>
      </c>
      <c r="G48" s="46" t="e">
        <f>#REF!</f>
        <v>#REF!</v>
      </c>
      <c r="H48" s="47" t="e">
        <f>#REF!</f>
        <v>#REF!</v>
      </c>
      <c r="I48" s="70" t="e">
        <f>#REF!</f>
        <v>#REF!</v>
      </c>
      <c r="J48" s="49" t="e">
        <f>#REF!</f>
        <v>#REF!</v>
      </c>
      <c r="K48" s="49" t="e">
        <f>#REF!</f>
        <v>#REF!</v>
      </c>
      <c r="L48" s="49" t="e">
        <f>#REF!</f>
        <v>#REF!</v>
      </c>
      <c r="M48" s="50" t="e">
        <f>#REF!</f>
        <v>#REF!</v>
      </c>
      <c r="N48" s="50" t="e">
        <f>#REF!</f>
        <v>#REF!</v>
      </c>
      <c r="O48" s="50" t="e">
        <f>#REF!</f>
        <v>#REF!</v>
      </c>
      <c r="P48" s="44" t="e">
        <f>#REF!</f>
        <v>#REF!</v>
      </c>
      <c r="R48" s="1"/>
      <c r="S48" s="1"/>
      <c r="T48" s="1"/>
    </row>
    <row r="49" spans="2:20" ht="28" customHeight="1">
      <c r="B49" s="71"/>
      <c r="C49" s="72" t="s">
        <v>580</v>
      </c>
      <c r="D49" s="71"/>
      <c r="E49" s="71"/>
      <c r="F49" s="71"/>
      <c r="G49" s="71"/>
      <c r="H49" s="73" t="s">
        <v>581</v>
      </c>
      <c r="I49" s="74"/>
      <c r="J49" s="75"/>
      <c r="K49" s="75"/>
      <c r="L49" s="75"/>
      <c r="M49" s="71"/>
      <c r="N49" s="71"/>
      <c r="O49" s="71"/>
      <c r="P49" s="71"/>
      <c r="R49" s="1"/>
      <c r="S49" s="1"/>
      <c r="T49" s="1"/>
    </row>
    <row r="50" spans="2:20" ht="32" customHeight="1">
      <c r="B50" s="51">
        <v>36</v>
      </c>
      <c r="C50" s="52" t="e">
        <f>#REF!</f>
        <v>#REF!</v>
      </c>
      <c r="D50" s="53" t="e">
        <f>#REF!</f>
        <v>#REF!</v>
      </c>
      <c r="E50" s="54" t="e">
        <f>#REF!</f>
        <v>#REF!</v>
      </c>
      <c r="F50" s="55" t="e">
        <f>#REF!</f>
        <v>#REF!</v>
      </c>
      <c r="G50" s="55" t="e">
        <f>#REF!</f>
        <v>#REF!</v>
      </c>
      <c r="H50" s="56" t="e">
        <f>#REF!</f>
        <v>#REF!</v>
      </c>
      <c r="I50" s="76" t="e">
        <f>#REF!</f>
        <v>#REF!</v>
      </c>
      <c r="J50" s="57" t="e">
        <f>#REF!</f>
        <v>#REF!</v>
      </c>
      <c r="K50" s="57" t="e">
        <f>#REF!</f>
        <v>#REF!</v>
      </c>
      <c r="L50" s="57" t="e">
        <f>#REF!</f>
        <v>#REF!</v>
      </c>
      <c r="M50" s="58" t="e">
        <f>#REF!</f>
        <v>#REF!</v>
      </c>
      <c r="N50" s="58" t="e">
        <f>#REF!</f>
        <v>#REF!</v>
      </c>
      <c r="O50" s="58" t="e">
        <f>#REF!</f>
        <v>#REF!</v>
      </c>
      <c r="P50" s="53" t="e">
        <f>#REF!</f>
        <v>#REF!</v>
      </c>
      <c r="R50" s="1"/>
      <c r="S50" s="1"/>
      <c r="T50" s="1"/>
    </row>
    <row r="51" spans="2:20" ht="32" customHeight="1">
      <c r="B51" s="42">
        <v>37</v>
      </c>
      <c r="C51" s="43" t="e">
        <f>#REF!</f>
        <v>#REF!</v>
      </c>
      <c r="D51" s="44" t="e">
        <f>#REF!</f>
        <v>#REF!</v>
      </c>
      <c r="E51" s="45" t="e">
        <f>#REF!</f>
        <v>#REF!</v>
      </c>
      <c r="F51" s="46" t="e">
        <f>#REF!</f>
        <v>#REF!</v>
      </c>
      <c r="G51" s="46" t="e">
        <f>#REF!</f>
        <v>#REF!</v>
      </c>
      <c r="H51" s="47" t="e">
        <f>#REF!</f>
        <v>#REF!</v>
      </c>
      <c r="I51" s="76" t="e">
        <f>#REF!</f>
        <v>#REF!</v>
      </c>
      <c r="J51" s="49" t="e">
        <f>#REF!</f>
        <v>#REF!</v>
      </c>
      <c r="K51" s="49" t="e">
        <f>#REF!</f>
        <v>#REF!</v>
      </c>
      <c r="L51" s="49" t="e">
        <f>#REF!</f>
        <v>#REF!</v>
      </c>
      <c r="M51" s="50" t="e">
        <f>#REF!</f>
        <v>#REF!</v>
      </c>
      <c r="N51" s="50" t="e">
        <f>#REF!</f>
        <v>#REF!</v>
      </c>
      <c r="O51" s="50" t="e">
        <f>#REF!</f>
        <v>#REF!</v>
      </c>
      <c r="P51" s="44" t="e">
        <f>#REF!</f>
        <v>#REF!</v>
      </c>
      <c r="R51" s="1"/>
      <c r="S51" s="1"/>
      <c r="T51" s="1"/>
    </row>
    <row r="52" spans="2:20" ht="32" customHeight="1">
      <c r="B52" s="51">
        <v>38</v>
      </c>
      <c r="C52" s="52" t="e">
        <f>#REF!</f>
        <v>#REF!</v>
      </c>
      <c r="D52" s="53" t="e">
        <f>#REF!</f>
        <v>#REF!</v>
      </c>
      <c r="E52" s="54" t="e">
        <f>#REF!</f>
        <v>#REF!</v>
      </c>
      <c r="F52" s="55" t="e">
        <f>#REF!</f>
        <v>#REF!</v>
      </c>
      <c r="G52" s="55" t="e">
        <f>#REF!</f>
        <v>#REF!</v>
      </c>
      <c r="H52" s="56" t="e">
        <f>#REF!</f>
        <v>#REF!</v>
      </c>
      <c r="I52" s="76" t="e">
        <f>#REF!</f>
        <v>#REF!</v>
      </c>
      <c r="J52" s="57" t="e">
        <f>#REF!</f>
        <v>#REF!</v>
      </c>
      <c r="K52" s="57" t="e">
        <f>#REF!</f>
        <v>#REF!</v>
      </c>
      <c r="L52" s="57" t="e">
        <f>#REF!</f>
        <v>#REF!</v>
      </c>
      <c r="M52" s="58" t="e">
        <f>#REF!</f>
        <v>#REF!</v>
      </c>
      <c r="N52" s="58" t="e">
        <f>#REF!</f>
        <v>#REF!</v>
      </c>
      <c r="O52" s="58" t="e">
        <f>#REF!</f>
        <v>#REF!</v>
      </c>
      <c r="P52" s="53" t="e">
        <f>#REF!</f>
        <v>#REF!</v>
      </c>
      <c r="R52" s="1"/>
      <c r="S52" s="1"/>
      <c r="T52" s="1"/>
    </row>
    <row r="53" spans="2:20" ht="32" customHeight="1">
      <c r="B53" s="42">
        <v>39</v>
      </c>
      <c r="C53" s="43" t="e">
        <f>#REF!</f>
        <v>#REF!</v>
      </c>
      <c r="D53" s="44" t="e">
        <f>#REF!</f>
        <v>#REF!</v>
      </c>
      <c r="E53" s="45" t="e">
        <f>#REF!</f>
        <v>#REF!</v>
      </c>
      <c r="F53" s="46" t="e">
        <f>#REF!</f>
        <v>#REF!</v>
      </c>
      <c r="G53" s="46" t="e">
        <f>#REF!</f>
        <v>#REF!</v>
      </c>
      <c r="H53" s="47" t="e">
        <f>#REF!</f>
        <v>#REF!</v>
      </c>
      <c r="I53" s="76" t="e">
        <f>#REF!</f>
        <v>#REF!</v>
      </c>
      <c r="J53" s="49" t="e">
        <f>#REF!</f>
        <v>#REF!</v>
      </c>
      <c r="K53" s="49" t="e">
        <f>#REF!</f>
        <v>#REF!</v>
      </c>
      <c r="L53" s="49" t="e">
        <f>#REF!</f>
        <v>#REF!</v>
      </c>
      <c r="M53" s="50" t="e">
        <f>#REF!</f>
        <v>#REF!</v>
      </c>
      <c r="N53" s="50" t="e">
        <f>#REF!</f>
        <v>#REF!</v>
      </c>
      <c r="O53" s="50" t="e">
        <f>#REF!</f>
        <v>#REF!</v>
      </c>
      <c r="P53" s="44" t="e">
        <f>#REF!</f>
        <v>#REF!</v>
      </c>
      <c r="R53" s="1"/>
      <c r="S53" s="1"/>
      <c r="T53" s="1"/>
    </row>
    <row r="54" spans="2:20" ht="32" customHeight="1">
      <c r="B54" s="51">
        <v>40</v>
      </c>
      <c r="C54" s="52" t="e">
        <f>#REF!</f>
        <v>#REF!</v>
      </c>
      <c r="D54" s="53" t="e">
        <f>#REF!</f>
        <v>#REF!</v>
      </c>
      <c r="E54" s="54" t="e">
        <f>#REF!</f>
        <v>#REF!</v>
      </c>
      <c r="F54" s="55" t="e">
        <f>#REF!</f>
        <v>#REF!</v>
      </c>
      <c r="G54" s="55" t="e">
        <f>#REF!</f>
        <v>#REF!</v>
      </c>
      <c r="H54" s="56" t="e">
        <f>#REF!</f>
        <v>#REF!</v>
      </c>
      <c r="I54" s="76" t="e">
        <f>#REF!</f>
        <v>#REF!</v>
      </c>
      <c r="J54" s="57" t="e">
        <f>#REF!</f>
        <v>#REF!</v>
      </c>
      <c r="K54" s="57" t="e">
        <f>#REF!</f>
        <v>#REF!</v>
      </c>
      <c r="L54" s="57" t="e">
        <f>#REF!</f>
        <v>#REF!</v>
      </c>
      <c r="M54" s="58" t="e">
        <f>#REF!</f>
        <v>#REF!</v>
      </c>
      <c r="N54" s="58" t="e">
        <f>#REF!</f>
        <v>#REF!</v>
      </c>
      <c r="O54" s="58" t="e">
        <f>#REF!</f>
        <v>#REF!</v>
      </c>
      <c r="P54" s="53" t="e">
        <f>#REF!</f>
        <v>#REF!</v>
      </c>
      <c r="R54" s="1"/>
      <c r="S54" s="1"/>
      <c r="T54" s="1"/>
    </row>
    <row r="55" spans="2:20" ht="32" customHeight="1">
      <c r="B55" s="42">
        <v>41</v>
      </c>
      <c r="C55" s="43" t="e">
        <f>#REF!</f>
        <v>#REF!</v>
      </c>
      <c r="D55" s="44" t="e">
        <f>#REF!</f>
        <v>#REF!</v>
      </c>
      <c r="E55" s="45" t="e">
        <f>#REF!</f>
        <v>#REF!</v>
      </c>
      <c r="F55" s="46" t="e">
        <f>#REF!</f>
        <v>#REF!</v>
      </c>
      <c r="G55" s="46" t="e">
        <f>#REF!</f>
        <v>#REF!</v>
      </c>
      <c r="H55" s="47" t="e">
        <f>#REF!</f>
        <v>#REF!</v>
      </c>
      <c r="I55" s="76" t="e">
        <f>#REF!</f>
        <v>#REF!</v>
      </c>
      <c r="J55" s="49" t="e">
        <f>#REF!</f>
        <v>#REF!</v>
      </c>
      <c r="K55" s="49" t="e">
        <f>#REF!</f>
        <v>#REF!</v>
      </c>
      <c r="L55" s="49" t="e">
        <f>#REF!</f>
        <v>#REF!</v>
      </c>
      <c r="M55" s="50" t="e">
        <f>#REF!</f>
        <v>#REF!</v>
      </c>
      <c r="N55" s="50" t="e">
        <f>#REF!</f>
        <v>#REF!</v>
      </c>
      <c r="O55" s="50" t="e">
        <f>#REF!</f>
        <v>#REF!</v>
      </c>
      <c r="P55" s="44" t="e">
        <f>#REF!</f>
        <v>#REF!</v>
      </c>
      <c r="R55" s="1"/>
      <c r="S55" s="1"/>
      <c r="T55" s="1"/>
    </row>
    <row r="56" spans="2:20" ht="32" customHeight="1">
      <c r="B56" s="51">
        <v>42</v>
      </c>
      <c r="C56" s="52" t="e">
        <f>#REF!</f>
        <v>#REF!</v>
      </c>
      <c r="D56" s="53" t="e">
        <f>#REF!</f>
        <v>#REF!</v>
      </c>
      <c r="E56" s="54" t="e">
        <f>#REF!</f>
        <v>#REF!</v>
      </c>
      <c r="F56" s="55" t="e">
        <f>#REF!</f>
        <v>#REF!</v>
      </c>
      <c r="G56" s="55" t="e">
        <f>#REF!</f>
        <v>#REF!</v>
      </c>
      <c r="H56" s="56" t="e">
        <f>#REF!</f>
        <v>#REF!</v>
      </c>
      <c r="I56" s="76" t="e">
        <f>#REF!</f>
        <v>#REF!</v>
      </c>
      <c r="J56" s="57" t="e">
        <f>#REF!</f>
        <v>#REF!</v>
      </c>
      <c r="K56" s="57" t="e">
        <f>#REF!</f>
        <v>#REF!</v>
      </c>
      <c r="L56" s="57" t="e">
        <f>#REF!</f>
        <v>#REF!</v>
      </c>
      <c r="M56" s="58" t="e">
        <f>#REF!</f>
        <v>#REF!</v>
      </c>
      <c r="N56" s="58" t="e">
        <f>#REF!</f>
        <v>#REF!</v>
      </c>
      <c r="O56" s="58" t="e">
        <f>#REF!</f>
        <v>#REF!</v>
      </c>
      <c r="P56" s="53" t="e">
        <f>#REF!</f>
        <v>#REF!</v>
      </c>
      <c r="R56" s="1"/>
      <c r="S56" s="1"/>
      <c r="T56" s="1"/>
    </row>
    <row r="57" spans="2:20" ht="32" customHeight="1">
      <c r="B57" s="42">
        <v>43</v>
      </c>
      <c r="C57" s="43" t="e">
        <f>#REF!</f>
        <v>#REF!</v>
      </c>
      <c r="D57" s="44" t="e">
        <f>#REF!</f>
        <v>#REF!</v>
      </c>
      <c r="E57" s="45" t="e">
        <f>#REF!</f>
        <v>#REF!</v>
      </c>
      <c r="F57" s="46" t="e">
        <f>#REF!</f>
        <v>#REF!</v>
      </c>
      <c r="G57" s="46" t="e">
        <f>#REF!</f>
        <v>#REF!</v>
      </c>
      <c r="H57" s="47" t="e">
        <f>#REF!</f>
        <v>#REF!</v>
      </c>
      <c r="I57" s="76" t="e">
        <f>#REF!</f>
        <v>#REF!</v>
      </c>
      <c r="J57" s="49" t="e">
        <f>#REF!</f>
        <v>#REF!</v>
      </c>
      <c r="K57" s="49" t="e">
        <f>#REF!</f>
        <v>#REF!</v>
      </c>
      <c r="L57" s="49" t="e">
        <f>#REF!</f>
        <v>#REF!</v>
      </c>
      <c r="M57" s="50" t="e">
        <f>#REF!</f>
        <v>#REF!</v>
      </c>
      <c r="N57" s="50" t="e">
        <f>#REF!</f>
        <v>#REF!</v>
      </c>
      <c r="O57" s="50" t="e">
        <f>#REF!</f>
        <v>#REF!</v>
      </c>
      <c r="P57" s="44" t="e">
        <f>#REF!</f>
        <v>#REF!</v>
      </c>
      <c r="R57" s="1"/>
      <c r="S57" s="1"/>
      <c r="T57" s="1"/>
    </row>
    <row r="58" spans="2:20" ht="32" customHeight="1">
      <c r="B58" s="51">
        <v>44</v>
      </c>
      <c r="C58" s="52" t="e">
        <f>#REF!</f>
        <v>#REF!</v>
      </c>
      <c r="D58" s="53" t="e">
        <f>#REF!</f>
        <v>#REF!</v>
      </c>
      <c r="E58" s="54" t="e">
        <f>#REF!</f>
        <v>#REF!</v>
      </c>
      <c r="F58" s="55" t="e">
        <f>#REF!</f>
        <v>#REF!</v>
      </c>
      <c r="G58" s="55" t="e">
        <f>#REF!</f>
        <v>#REF!</v>
      </c>
      <c r="H58" s="56" t="e">
        <f>#REF!</f>
        <v>#REF!</v>
      </c>
      <c r="I58" s="76" t="e">
        <f>#REF!</f>
        <v>#REF!</v>
      </c>
      <c r="J58" s="57" t="e">
        <f>#REF!</f>
        <v>#REF!</v>
      </c>
      <c r="K58" s="57" t="e">
        <f>#REF!</f>
        <v>#REF!</v>
      </c>
      <c r="L58" s="57" t="e">
        <f>#REF!</f>
        <v>#REF!</v>
      </c>
      <c r="M58" s="58" t="e">
        <f>#REF!</f>
        <v>#REF!</v>
      </c>
      <c r="N58" s="58" t="e">
        <f>#REF!</f>
        <v>#REF!</v>
      </c>
      <c r="O58" s="58" t="e">
        <f>#REF!</f>
        <v>#REF!</v>
      </c>
      <c r="P58" s="53" t="e">
        <f>#REF!</f>
        <v>#REF!</v>
      </c>
      <c r="R58" s="1"/>
      <c r="S58" s="1"/>
      <c r="T58" s="1"/>
    </row>
    <row r="59" spans="2:20" ht="32" customHeight="1">
      <c r="B59" s="42">
        <v>45</v>
      </c>
      <c r="C59" s="43" t="e">
        <f>#REF!</f>
        <v>#REF!</v>
      </c>
      <c r="D59" s="44" t="e">
        <f>#REF!</f>
        <v>#REF!</v>
      </c>
      <c r="E59" s="45" t="e">
        <f>#REF!</f>
        <v>#REF!</v>
      </c>
      <c r="F59" s="46" t="e">
        <f>#REF!</f>
        <v>#REF!</v>
      </c>
      <c r="G59" s="46" t="e">
        <f>#REF!</f>
        <v>#REF!</v>
      </c>
      <c r="H59" s="47" t="e">
        <f>#REF!</f>
        <v>#REF!</v>
      </c>
      <c r="I59" s="76" t="e">
        <f>#REF!</f>
        <v>#REF!</v>
      </c>
      <c r="J59" s="49" t="e">
        <f>#REF!</f>
        <v>#REF!</v>
      </c>
      <c r="K59" s="49" t="e">
        <f>#REF!</f>
        <v>#REF!</v>
      </c>
      <c r="L59" s="49" t="e">
        <f>#REF!</f>
        <v>#REF!</v>
      </c>
      <c r="M59" s="50" t="e">
        <f>#REF!</f>
        <v>#REF!</v>
      </c>
      <c r="N59" s="50" t="e">
        <f>#REF!</f>
        <v>#REF!</v>
      </c>
      <c r="O59" s="50" t="e">
        <f>#REF!</f>
        <v>#REF!</v>
      </c>
      <c r="P59" s="44" t="e">
        <f>#REF!</f>
        <v>#REF!</v>
      </c>
      <c r="R59" s="1"/>
      <c r="S59" s="1"/>
      <c r="T59" s="1"/>
    </row>
    <row r="60" spans="2:20" ht="32" customHeight="1">
      <c r="B60" s="51">
        <v>46</v>
      </c>
      <c r="C60" s="52" t="e">
        <f>#REF!</f>
        <v>#REF!</v>
      </c>
      <c r="D60" s="53" t="e">
        <f>#REF!</f>
        <v>#REF!</v>
      </c>
      <c r="E60" s="54" t="e">
        <f>#REF!</f>
        <v>#REF!</v>
      </c>
      <c r="F60" s="55" t="e">
        <f>#REF!</f>
        <v>#REF!</v>
      </c>
      <c r="G60" s="55" t="e">
        <f>#REF!</f>
        <v>#REF!</v>
      </c>
      <c r="H60" s="56" t="e">
        <f>#REF!</f>
        <v>#REF!</v>
      </c>
      <c r="I60" s="76" t="e">
        <f>#REF!</f>
        <v>#REF!</v>
      </c>
      <c r="J60" s="57" t="e">
        <f>#REF!</f>
        <v>#REF!</v>
      </c>
      <c r="K60" s="57" t="e">
        <f>#REF!</f>
        <v>#REF!</v>
      </c>
      <c r="L60" s="57" t="e">
        <f>#REF!</f>
        <v>#REF!</v>
      </c>
      <c r="M60" s="58" t="e">
        <f>#REF!</f>
        <v>#REF!</v>
      </c>
      <c r="N60" s="58" t="e">
        <f>#REF!</f>
        <v>#REF!</v>
      </c>
      <c r="O60" s="58" t="e">
        <f>#REF!</f>
        <v>#REF!</v>
      </c>
      <c r="P60" s="53" t="e">
        <f>#REF!</f>
        <v>#REF!</v>
      </c>
      <c r="R60" s="1"/>
      <c r="S60" s="1"/>
      <c r="T60" s="1"/>
    </row>
    <row r="61" spans="2:20" ht="32" customHeight="1">
      <c r="B61" s="42">
        <v>47</v>
      </c>
      <c r="C61" s="43" t="e">
        <f>#REF!</f>
        <v>#REF!</v>
      </c>
      <c r="D61" s="44" t="e">
        <f>#REF!</f>
        <v>#REF!</v>
      </c>
      <c r="E61" s="45" t="e">
        <f>#REF!</f>
        <v>#REF!</v>
      </c>
      <c r="F61" s="46" t="e">
        <f>#REF!</f>
        <v>#REF!</v>
      </c>
      <c r="G61" s="46" t="e">
        <f>#REF!</f>
        <v>#REF!</v>
      </c>
      <c r="H61" s="47" t="e">
        <f>#REF!</f>
        <v>#REF!</v>
      </c>
      <c r="I61" s="76" t="e">
        <f>#REF!</f>
        <v>#REF!</v>
      </c>
      <c r="J61" s="49" t="e">
        <f>#REF!</f>
        <v>#REF!</v>
      </c>
      <c r="K61" s="49" t="e">
        <f>#REF!</f>
        <v>#REF!</v>
      </c>
      <c r="L61" s="49" t="e">
        <f>#REF!</f>
        <v>#REF!</v>
      </c>
      <c r="M61" s="50" t="e">
        <f>#REF!</f>
        <v>#REF!</v>
      </c>
      <c r="N61" s="50" t="e">
        <f>#REF!</f>
        <v>#REF!</v>
      </c>
      <c r="O61" s="50" t="e">
        <f>#REF!</f>
        <v>#REF!</v>
      </c>
      <c r="P61" s="44" t="e">
        <f>#REF!</f>
        <v>#REF!</v>
      </c>
      <c r="R61" s="1"/>
      <c r="S61" s="1"/>
      <c r="T61" s="1"/>
    </row>
    <row r="62" spans="2:20" ht="32" customHeight="1">
      <c r="B62" s="51">
        <v>48</v>
      </c>
      <c r="C62" s="52" t="e">
        <f>#REF!</f>
        <v>#REF!</v>
      </c>
      <c r="D62" s="53" t="e">
        <f>#REF!</f>
        <v>#REF!</v>
      </c>
      <c r="E62" s="54" t="e">
        <f>#REF!</f>
        <v>#REF!</v>
      </c>
      <c r="F62" s="55" t="e">
        <f>#REF!</f>
        <v>#REF!</v>
      </c>
      <c r="G62" s="55" t="e">
        <f>#REF!</f>
        <v>#REF!</v>
      </c>
      <c r="H62" s="56" t="e">
        <f>#REF!</f>
        <v>#REF!</v>
      </c>
      <c r="I62" s="76" t="e">
        <f>#REF!</f>
        <v>#REF!</v>
      </c>
      <c r="J62" s="57" t="e">
        <f>#REF!</f>
        <v>#REF!</v>
      </c>
      <c r="K62" s="57" t="e">
        <f>#REF!</f>
        <v>#REF!</v>
      </c>
      <c r="L62" s="57" t="e">
        <f>#REF!</f>
        <v>#REF!</v>
      </c>
      <c r="M62" s="58" t="e">
        <f>#REF!</f>
        <v>#REF!</v>
      </c>
      <c r="N62" s="58" t="e">
        <f>#REF!</f>
        <v>#REF!</v>
      </c>
      <c r="O62" s="58" t="e">
        <f>#REF!</f>
        <v>#REF!</v>
      </c>
      <c r="P62" s="53" t="e">
        <f>#REF!</f>
        <v>#REF!</v>
      </c>
      <c r="R62" s="1"/>
      <c r="S62" s="1"/>
      <c r="T62" s="1"/>
    </row>
    <row r="63" spans="2:20" ht="32" customHeight="1">
      <c r="B63" s="42">
        <v>49</v>
      </c>
      <c r="C63" s="43" t="e">
        <f>#REF!</f>
        <v>#REF!</v>
      </c>
      <c r="D63" s="44" t="e">
        <f>#REF!</f>
        <v>#REF!</v>
      </c>
      <c r="E63" s="45" t="e">
        <f>#REF!</f>
        <v>#REF!</v>
      </c>
      <c r="F63" s="46" t="e">
        <f>#REF!</f>
        <v>#REF!</v>
      </c>
      <c r="G63" s="46" t="e">
        <f>#REF!</f>
        <v>#REF!</v>
      </c>
      <c r="H63" s="47" t="e">
        <f>#REF!</f>
        <v>#REF!</v>
      </c>
      <c r="I63" s="76" t="e">
        <f>#REF!</f>
        <v>#REF!</v>
      </c>
      <c r="J63" s="49" t="e">
        <f>#REF!</f>
        <v>#REF!</v>
      </c>
      <c r="K63" s="49" t="e">
        <f>#REF!</f>
        <v>#REF!</v>
      </c>
      <c r="L63" s="49" t="e">
        <f>#REF!</f>
        <v>#REF!</v>
      </c>
      <c r="M63" s="50" t="e">
        <f>#REF!</f>
        <v>#REF!</v>
      </c>
      <c r="N63" s="50" t="e">
        <f>#REF!</f>
        <v>#REF!</v>
      </c>
      <c r="O63" s="50" t="e">
        <f>#REF!</f>
        <v>#REF!</v>
      </c>
      <c r="P63" s="44" t="e">
        <f>#REF!</f>
        <v>#REF!</v>
      </c>
      <c r="R63" s="1"/>
      <c r="S63" s="1"/>
      <c r="T63" s="1"/>
    </row>
    <row r="64" spans="2:20" ht="32" customHeight="1">
      <c r="B64" s="51">
        <v>50</v>
      </c>
      <c r="C64" s="52" t="e">
        <f>#REF!</f>
        <v>#REF!</v>
      </c>
      <c r="D64" s="53" t="e">
        <f>#REF!</f>
        <v>#REF!</v>
      </c>
      <c r="E64" s="54" t="e">
        <f>#REF!</f>
        <v>#REF!</v>
      </c>
      <c r="F64" s="55" t="e">
        <f>#REF!</f>
        <v>#REF!</v>
      </c>
      <c r="G64" s="55" t="e">
        <f>#REF!</f>
        <v>#REF!</v>
      </c>
      <c r="H64" s="56" t="e">
        <f>#REF!</f>
        <v>#REF!</v>
      </c>
      <c r="I64" s="76" t="e">
        <f>#REF!</f>
        <v>#REF!</v>
      </c>
      <c r="J64" s="57" t="e">
        <f>#REF!</f>
        <v>#REF!</v>
      </c>
      <c r="K64" s="57" t="e">
        <f>#REF!</f>
        <v>#REF!</v>
      </c>
      <c r="L64" s="57" t="e">
        <f>#REF!</f>
        <v>#REF!</v>
      </c>
      <c r="M64" s="58" t="e">
        <f>#REF!</f>
        <v>#REF!</v>
      </c>
      <c r="N64" s="58" t="e">
        <f>#REF!</f>
        <v>#REF!</v>
      </c>
      <c r="O64" s="58" t="e">
        <f>#REF!</f>
        <v>#REF!</v>
      </c>
      <c r="P64" s="53" t="e">
        <f>#REF!</f>
        <v>#REF!</v>
      </c>
      <c r="R64" s="1"/>
      <c r="S64" s="1"/>
      <c r="T64" s="1"/>
    </row>
    <row r="65" spans="2:20" ht="32" customHeight="1">
      <c r="B65" s="42">
        <v>51</v>
      </c>
      <c r="C65" s="43" t="e">
        <f>#REF!</f>
        <v>#REF!</v>
      </c>
      <c r="D65" s="44" t="e">
        <f>#REF!</f>
        <v>#REF!</v>
      </c>
      <c r="E65" s="45" t="e">
        <f>#REF!</f>
        <v>#REF!</v>
      </c>
      <c r="F65" s="46" t="e">
        <f>#REF!</f>
        <v>#REF!</v>
      </c>
      <c r="G65" s="46" t="e">
        <f>#REF!</f>
        <v>#REF!</v>
      </c>
      <c r="H65" s="47" t="e">
        <f>#REF!</f>
        <v>#REF!</v>
      </c>
      <c r="I65" s="76" t="e">
        <f>#REF!</f>
        <v>#REF!</v>
      </c>
      <c r="J65" s="49" t="e">
        <f>#REF!</f>
        <v>#REF!</v>
      </c>
      <c r="K65" s="49" t="e">
        <f>#REF!</f>
        <v>#REF!</v>
      </c>
      <c r="L65" s="49" t="e">
        <f>#REF!</f>
        <v>#REF!</v>
      </c>
      <c r="M65" s="50" t="e">
        <f>#REF!</f>
        <v>#REF!</v>
      </c>
      <c r="N65" s="50" t="e">
        <f>#REF!</f>
        <v>#REF!</v>
      </c>
      <c r="O65" s="50" t="e">
        <f>#REF!</f>
        <v>#REF!</v>
      </c>
      <c r="P65" s="44" t="e">
        <f>#REF!</f>
        <v>#REF!</v>
      </c>
      <c r="R65" s="1"/>
      <c r="S65" s="1"/>
      <c r="T65" s="1"/>
    </row>
    <row r="66" spans="2:20" ht="32" customHeight="1">
      <c r="B66" s="51">
        <v>52</v>
      </c>
      <c r="C66" s="52" t="e">
        <f>#REF!</f>
        <v>#REF!</v>
      </c>
      <c r="D66" s="53" t="e">
        <f>#REF!</f>
        <v>#REF!</v>
      </c>
      <c r="E66" s="54" t="e">
        <f>#REF!</f>
        <v>#REF!</v>
      </c>
      <c r="F66" s="55" t="e">
        <f>#REF!</f>
        <v>#REF!</v>
      </c>
      <c r="G66" s="55" t="e">
        <f>#REF!</f>
        <v>#REF!</v>
      </c>
      <c r="H66" s="56" t="e">
        <f>#REF!</f>
        <v>#REF!</v>
      </c>
      <c r="I66" s="76" t="e">
        <f>#REF!</f>
        <v>#REF!</v>
      </c>
      <c r="J66" s="57" t="e">
        <f>#REF!</f>
        <v>#REF!</v>
      </c>
      <c r="K66" s="57" t="e">
        <f>#REF!</f>
        <v>#REF!</v>
      </c>
      <c r="L66" s="57" t="e">
        <f>#REF!</f>
        <v>#REF!</v>
      </c>
      <c r="M66" s="58" t="e">
        <f>#REF!</f>
        <v>#REF!</v>
      </c>
      <c r="N66" s="58" t="e">
        <f>#REF!</f>
        <v>#REF!</v>
      </c>
      <c r="O66" s="58" t="e">
        <f>#REF!</f>
        <v>#REF!</v>
      </c>
      <c r="P66" s="53" t="e">
        <f>#REF!</f>
        <v>#REF!</v>
      </c>
      <c r="R66" s="1"/>
      <c r="S66" s="1"/>
      <c r="T66" s="1"/>
    </row>
    <row r="67" spans="2:20" ht="32" customHeight="1">
      <c r="B67" s="42">
        <v>53</v>
      </c>
      <c r="C67" s="43" t="e">
        <f>#REF!</f>
        <v>#REF!</v>
      </c>
      <c r="D67" s="44" t="e">
        <f>#REF!</f>
        <v>#REF!</v>
      </c>
      <c r="E67" s="45" t="e">
        <f>#REF!</f>
        <v>#REF!</v>
      </c>
      <c r="F67" s="46" t="e">
        <f>#REF!</f>
        <v>#REF!</v>
      </c>
      <c r="G67" s="46" t="e">
        <f>#REF!</f>
        <v>#REF!</v>
      </c>
      <c r="H67" s="47" t="e">
        <f>#REF!</f>
        <v>#REF!</v>
      </c>
      <c r="I67" s="76" t="e">
        <f>#REF!</f>
        <v>#REF!</v>
      </c>
      <c r="J67" s="49" t="e">
        <f>#REF!</f>
        <v>#REF!</v>
      </c>
      <c r="K67" s="49" t="e">
        <f>#REF!</f>
        <v>#REF!</v>
      </c>
      <c r="L67" s="49" t="e">
        <f>#REF!</f>
        <v>#REF!</v>
      </c>
      <c r="M67" s="50" t="e">
        <f>#REF!</f>
        <v>#REF!</v>
      </c>
      <c r="N67" s="50" t="e">
        <f>#REF!</f>
        <v>#REF!</v>
      </c>
      <c r="O67" s="50" t="e">
        <f>#REF!</f>
        <v>#REF!</v>
      </c>
      <c r="P67" s="44" t="e">
        <f>#REF!</f>
        <v>#REF!</v>
      </c>
      <c r="R67" s="1"/>
      <c r="S67" s="1"/>
      <c r="T67" s="1"/>
    </row>
    <row r="68" spans="2:20" ht="32" customHeight="1">
      <c r="B68" s="51">
        <v>54</v>
      </c>
      <c r="C68" s="52" t="e">
        <f>#REF!</f>
        <v>#REF!</v>
      </c>
      <c r="D68" s="53" t="e">
        <f>#REF!</f>
        <v>#REF!</v>
      </c>
      <c r="E68" s="54" t="e">
        <f>#REF!</f>
        <v>#REF!</v>
      </c>
      <c r="F68" s="55" t="e">
        <f>#REF!</f>
        <v>#REF!</v>
      </c>
      <c r="G68" s="55" t="e">
        <f>#REF!</f>
        <v>#REF!</v>
      </c>
      <c r="H68" s="56" t="e">
        <f>#REF!</f>
        <v>#REF!</v>
      </c>
      <c r="I68" s="76" t="e">
        <f>#REF!</f>
        <v>#REF!</v>
      </c>
      <c r="J68" s="57" t="e">
        <f>#REF!</f>
        <v>#REF!</v>
      </c>
      <c r="K68" s="57" t="e">
        <f>#REF!</f>
        <v>#REF!</v>
      </c>
      <c r="L68" s="57" t="e">
        <f>#REF!</f>
        <v>#REF!</v>
      </c>
      <c r="M68" s="58" t="e">
        <f>#REF!</f>
        <v>#REF!</v>
      </c>
      <c r="N68" s="58" t="e">
        <f>#REF!</f>
        <v>#REF!</v>
      </c>
      <c r="O68" s="58" t="e">
        <f>#REF!</f>
        <v>#REF!</v>
      </c>
      <c r="P68" s="53" t="e">
        <f>#REF!</f>
        <v>#REF!</v>
      </c>
      <c r="R68" s="1"/>
      <c r="S68" s="1"/>
      <c r="T68" s="1"/>
    </row>
    <row r="69" spans="2:20" ht="32" customHeight="1">
      <c r="B69" s="42">
        <v>55</v>
      </c>
      <c r="C69" s="43" t="e">
        <f>#REF!</f>
        <v>#REF!</v>
      </c>
      <c r="D69" s="44" t="e">
        <f>#REF!</f>
        <v>#REF!</v>
      </c>
      <c r="E69" s="45" t="e">
        <f>#REF!</f>
        <v>#REF!</v>
      </c>
      <c r="F69" s="46" t="e">
        <f>#REF!</f>
        <v>#REF!</v>
      </c>
      <c r="G69" s="46" t="e">
        <f>#REF!</f>
        <v>#REF!</v>
      </c>
      <c r="H69" s="47" t="e">
        <f>#REF!</f>
        <v>#REF!</v>
      </c>
      <c r="I69" s="76" t="e">
        <f>#REF!</f>
        <v>#REF!</v>
      </c>
      <c r="J69" s="49" t="e">
        <f>#REF!</f>
        <v>#REF!</v>
      </c>
      <c r="K69" s="49" t="e">
        <f>#REF!</f>
        <v>#REF!</v>
      </c>
      <c r="L69" s="49" t="e">
        <f>#REF!</f>
        <v>#REF!</v>
      </c>
      <c r="M69" s="50" t="e">
        <f>#REF!</f>
        <v>#REF!</v>
      </c>
      <c r="N69" s="50" t="e">
        <f>#REF!</f>
        <v>#REF!</v>
      </c>
      <c r="O69" s="50" t="e">
        <f>#REF!</f>
        <v>#REF!</v>
      </c>
      <c r="P69" s="44" t="e">
        <f>#REF!</f>
        <v>#REF!</v>
      </c>
      <c r="R69" s="1"/>
      <c r="S69" s="1"/>
      <c r="T69" s="1"/>
    </row>
    <row r="70" spans="2:20" ht="32" customHeight="1">
      <c r="B70" s="51">
        <v>56</v>
      </c>
      <c r="C70" s="52" t="e">
        <f>#REF!</f>
        <v>#REF!</v>
      </c>
      <c r="D70" s="53" t="e">
        <f>#REF!</f>
        <v>#REF!</v>
      </c>
      <c r="E70" s="54" t="e">
        <f>#REF!</f>
        <v>#REF!</v>
      </c>
      <c r="F70" s="55" t="e">
        <f>#REF!</f>
        <v>#REF!</v>
      </c>
      <c r="G70" s="55" t="e">
        <f>#REF!</f>
        <v>#REF!</v>
      </c>
      <c r="H70" s="56" t="e">
        <f>#REF!</f>
        <v>#REF!</v>
      </c>
      <c r="I70" s="76" t="e">
        <f>#REF!</f>
        <v>#REF!</v>
      </c>
      <c r="J70" s="57" t="e">
        <f>#REF!</f>
        <v>#REF!</v>
      </c>
      <c r="K70" s="57" t="e">
        <f>#REF!</f>
        <v>#REF!</v>
      </c>
      <c r="L70" s="57" t="e">
        <f>#REF!</f>
        <v>#REF!</v>
      </c>
      <c r="M70" s="58" t="e">
        <f>#REF!</f>
        <v>#REF!</v>
      </c>
      <c r="N70" s="58" t="e">
        <f>#REF!</f>
        <v>#REF!</v>
      </c>
      <c r="O70" s="58" t="e">
        <f>#REF!</f>
        <v>#REF!</v>
      </c>
      <c r="P70" s="53" t="e">
        <f>#REF!</f>
        <v>#REF!</v>
      </c>
      <c r="R70" s="1"/>
      <c r="S70" s="1"/>
      <c r="T70" s="1"/>
    </row>
    <row r="71" spans="2:20" ht="32" customHeight="1">
      <c r="B71" s="42">
        <v>57</v>
      </c>
      <c r="C71" s="43" t="e">
        <f>#REF!</f>
        <v>#REF!</v>
      </c>
      <c r="D71" s="44" t="e">
        <f>#REF!</f>
        <v>#REF!</v>
      </c>
      <c r="E71" s="45" t="e">
        <f>#REF!</f>
        <v>#REF!</v>
      </c>
      <c r="F71" s="46" t="e">
        <f>#REF!</f>
        <v>#REF!</v>
      </c>
      <c r="G71" s="46" t="e">
        <f>#REF!</f>
        <v>#REF!</v>
      </c>
      <c r="H71" s="47" t="e">
        <f>#REF!</f>
        <v>#REF!</v>
      </c>
      <c r="I71" s="76" t="e">
        <f>#REF!</f>
        <v>#REF!</v>
      </c>
      <c r="J71" s="49" t="e">
        <f>#REF!</f>
        <v>#REF!</v>
      </c>
      <c r="K71" s="49" t="e">
        <f>#REF!</f>
        <v>#REF!</v>
      </c>
      <c r="L71" s="49" t="e">
        <f>#REF!</f>
        <v>#REF!</v>
      </c>
      <c r="M71" s="50" t="e">
        <f>#REF!</f>
        <v>#REF!</v>
      </c>
      <c r="N71" s="50" t="e">
        <f>#REF!</f>
        <v>#REF!</v>
      </c>
      <c r="O71" s="50" t="e">
        <f>#REF!</f>
        <v>#REF!</v>
      </c>
      <c r="P71" s="44" t="e">
        <f>#REF!</f>
        <v>#REF!</v>
      </c>
      <c r="R71" s="1"/>
      <c r="S71" s="1"/>
      <c r="T71" s="1"/>
    </row>
    <row r="72" spans="2:20" ht="32" customHeight="1">
      <c r="B72" s="51">
        <v>58</v>
      </c>
      <c r="C72" s="52" t="e">
        <f>#REF!</f>
        <v>#REF!</v>
      </c>
      <c r="D72" s="53" t="e">
        <f>#REF!</f>
        <v>#REF!</v>
      </c>
      <c r="E72" s="54" t="e">
        <f>#REF!</f>
        <v>#REF!</v>
      </c>
      <c r="F72" s="55" t="e">
        <f>#REF!</f>
        <v>#REF!</v>
      </c>
      <c r="G72" s="55" t="e">
        <f>#REF!</f>
        <v>#REF!</v>
      </c>
      <c r="H72" s="56" t="e">
        <f>#REF!</f>
        <v>#REF!</v>
      </c>
      <c r="I72" s="76" t="e">
        <f>#REF!</f>
        <v>#REF!</v>
      </c>
      <c r="J72" s="57" t="e">
        <f>#REF!</f>
        <v>#REF!</v>
      </c>
      <c r="K72" s="57" t="e">
        <f>#REF!</f>
        <v>#REF!</v>
      </c>
      <c r="L72" s="57" t="e">
        <f>#REF!</f>
        <v>#REF!</v>
      </c>
      <c r="M72" s="58" t="e">
        <f>#REF!</f>
        <v>#REF!</v>
      </c>
      <c r="N72" s="58" t="e">
        <f>#REF!</f>
        <v>#REF!</v>
      </c>
      <c r="O72" s="58" t="e">
        <f>#REF!</f>
        <v>#REF!</v>
      </c>
      <c r="P72" s="53" t="e">
        <f>#REF!</f>
        <v>#REF!</v>
      </c>
      <c r="R72" s="1"/>
      <c r="S72" s="1"/>
      <c r="T72" s="1"/>
    </row>
    <row r="73" spans="2:20" ht="32" customHeight="1">
      <c r="B73" s="42">
        <v>59</v>
      </c>
      <c r="C73" s="43" t="e">
        <f>#REF!</f>
        <v>#REF!</v>
      </c>
      <c r="D73" s="44" t="e">
        <f>#REF!</f>
        <v>#REF!</v>
      </c>
      <c r="E73" s="45" t="e">
        <f>#REF!</f>
        <v>#REF!</v>
      </c>
      <c r="F73" s="46" t="e">
        <f>#REF!</f>
        <v>#REF!</v>
      </c>
      <c r="G73" s="46" t="e">
        <f>#REF!</f>
        <v>#REF!</v>
      </c>
      <c r="H73" s="47" t="e">
        <f>#REF!</f>
        <v>#REF!</v>
      </c>
      <c r="I73" s="76" t="e">
        <f>#REF!</f>
        <v>#REF!</v>
      </c>
      <c r="J73" s="49" t="e">
        <f>#REF!</f>
        <v>#REF!</v>
      </c>
      <c r="K73" s="49" t="e">
        <f>#REF!</f>
        <v>#REF!</v>
      </c>
      <c r="L73" s="49" t="e">
        <f>#REF!</f>
        <v>#REF!</v>
      </c>
      <c r="M73" s="50" t="e">
        <f>#REF!</f>
        <v>#REF!</v>
      </c>
      <c r="N73" s="50" t="e">
        <f>#REF!</f>
        <v>#REF!</v>
      </c>
      <c r="O73" s="50" t="e">
        <f>#REF!</f>
        <v>#REF!</v>
      </c>
      <c r="P73" s="44" t="e">
        <f>#REF!</f>
        <v>#REF!</v>
      </c>
      <c r="R73" s="1"/>
      <c r="S73" s="1"/>
      <c r="T73" s="1"/>
    </row>
    <row r="74" spans="2:20" ht="32" customHeight="1">
      <c r="B74" s="51">
        <v>60</v>
      </c>
      <c r="C74" s="52" t="e">
        <f>#REF!</f>
        <v>#REF!</v>
      </c>
      <c r="D74" s="53" t="e">
        <f>#REF!</f>
        <v>#REF!</v>
      </c>
      <c r="E74" s="54" t="e">
        <f>#REF!</f>
        <v>#REF!</v>
      </c>
      <c r="F74" s="55" t="e">
        <f>#REF!</f>
        <v>#REF!</v>
      </c>
      <c r="G74" s="55" t="e">
        <f>#REF!</f>
        <v>#REF!</v>
      </c>
      <c r="H74" s="56" t="e">
        <f>#REF!</f>
        <v>#REF!</v>
      </c>
      <c r="I74" s="76" t="e">
        <f>#REF!</f>
        <v>#REF!</v>
      </c>
      <c r="J74" s="57" t="e">
        <f>#REF!</f>
        <v>#REF!</v>
      </c>
      <c r="K74" s="57" t="e">
        <f>#REF!</f>
        <v>#REF!</v>
      </c>
      <c r="L74" s="57" t="e">
        <f>#REF!</f>
        <v>#REF!</v>
      </c>
      <c r="M74" s="58" t="e">
        <f>#REF!</f>
        <v>#REF!</v>
      </c>
      <c r="N74" s="58" t="e">
        <f>#REF!</f>
        <v>#REF!</v>
      </c>
      <c r="O74" s="58" t="e">
        <f>#REF!</f>
        <v>#REF!</v>
      </c>
      <c r="P74" s="53" t="e">
        <f>#REF!</f>
        <v>#REF!</v>
      </c>
      <c r="R74" s="1"/>
      <c r="S74" s="1"/>
      <c r="T74" s="1"/>
    </row>
    <row r="75" spans="2:20" ht="32" customHeight="1">
      <c r="B75" s="42">
        <v>61</v>
      </c>
      <c r="C75" s="43" t="e">
        <f>#REF!</f>
        <v>#REF!</v>
      </c>
      <c r="D75" s="44" t="e">
        <f>#REF!</f>
        <v>#REF!</v>
      </c>
      <c r="E75" s="45" t="e">
        <f>#REF!</f>
        <v>#REF!</v>
      </c>
      <c r="F75" s="46" t="e">
        <f>#REF!</f>
        <v>#REF!</v>
      </c>
      <c r="G75" s="46" t="e">
        <f>#REF!</f>
        <v>#REF!</v>
      </c>
      <c r="H75" s="47" t="e">
        <f>#REF!</f>
        <v>#REF!</v>
      </c>
      <c r="I75" s="76" t="e">
        <f>#REF!</f>
        <v>#REF!</v>
      </c>
      <c r="J75" s="49" t="e">
        <f>#REF!</f>
        <v>#REF!</v>
      </c>
      <c r="K75" s="49" t="e">
        <f>#REF!</f>
        <v>#REF!</v>
      </c>
      <c r="L75" s="49" t="e">
        <f>#REF!</f>
        <v>#REF!</v>
      </c>
      <c r="M75" s="50" t="e">
        <f>#REF!</f>
        <v>#REF!</v>
      </c>
      <c r="N75" s="50" t="e">
        <f>#REF!</f>
        <v>#REF!</v>
      </c>
      <c r="O75" s="50" t="e">
        <f>#REF!</f>
        <v>#REF!</v>
      </c>
      <c r="P75" s="44" t="e">
        <f>#REF!</f>
        <v>#REF!</v>
      </c>
      <c r="R75" s="1"/>
      <c r="S75" s="1"/>
      <c r="T75" s="1"/>
    </row>
    <row r="76" spans="2:20" ht="32" customHeight="1">
      <c r="B76" s="51">
        <v>62</v>
      </c>
      <c r="C76" s="52" t="e">
        <f>#REF!</f>
        <v>#REF!</v>
      </c>
      <c r="D76" s="53" t="e">
        <f>#REF!</f>
        <v>#REF!</v>
      </c>
      <c r="E76" s="54" t="e">
        <f>#REF!</f>
        <v>#REF!</v>
      </c>
      <c r="F76" s="55" t="e">
        <f>#REF!</f>
        <v>#REF!</v>
      </c>
      <c r="G76" s="55" t="e">
        <f>#REF!</f>
        <v>#REF!</v>
      </c>
      <c r="H76" s="56" t="e">
        <f>#REF!</f>
        <v>#REF!</v>
      </c>
      <c r="I76" s="76" t="e">
        <f>#REF!</f>
        <v>#REF!</v>
      </c>
      <c r="J76" s="57" t="e">
        <f>#REF!</f>
        <v>#REF!</v>
      </c>
      <c r="K76" s="57" t="e">
        <f>#REF!</f>
        <v>#REF!</v>
      </c>
      <c r="L76" s="57" t="e">
        <f>#REF!</f>
        <v>#REF!</v>
      </c>
      <c r="M76" s="58" t="e">
        <f>#REF!</f>
        <v>#REF!</v>
      </c>
      <c r="N76" s="58" t="e">
        <f>#REF!</f>
        <v>#REF!</v>
      </c>
      <c r="O76" s="58" t="e">
        <f>#REF!</f>
        <v>#REF!</v>
      </c>
      <c r="P76" s="53" t="e">
        <f>#REF!</f>
        <v>#REF!</v>
      </c>
      <c r="R76" s="1"/>
      <c r="S76" s="1"/>
      <c r="T76" s="1"/>
    </row>
    <row r="77" spans="2:20" ht="32" customHeight="1">
      <c r="B77" s="42">
        <v>63</v>
      </c>
      <c r="C77" s="43" t="e">
        <f>#REF!</f>
        <v>#REF!</v>
      </c>
      <c r="D77" s="44" t="e">
        <f>#REF!</f>
        <v>#REF!</v>
      </c>
      <c r="E77" s="45" t="e">
        <f>#REF!</f>
        <v>#REF!</v>
      </c>
      <c r="F77" s="46" t="e">
        <f>#REF!</f>
        <v>#REF!</v>
      </c>
      <c r="G77" s="46" t="e">
        <f>#REF!</f>
        <v>#REF!</v>
      </c>
      <c r="H77" s="47" t="e">
        <f>#REF!</f>
        <v>#REF!</v>
      </c>
      <c r="I77" s="76" t="e">
        <f>#REF!</f>
        <v>#REF!</v>
      </c>
      <c r="J77" s="49" t="e">
        <f>#REF!</f>
        <v>#REF!</v>
      </c>
      <c r="K77" s="49" t="e">
        <f>#REF!</f>
        <v>#REF!</v>
      </c>
      <c r="L77" s="49" t="e">
        <f>#REF!</f>
        <v>#REF!</v>
      </c>
      <c r="M77" s="50" t="e">
        <f>#REF!</f>
        <v>#REF!</v>
      </c>
      <c r="N77" s="50" t="e">
        <f>#REF!</f>
        <v>#REF!</v>
      </c>
      <c r="O77" s="50" t="e">
        <f>#REF!</f>
        <v>#REF!</v>
      </c>
      <c r="P77" s="44" t="e">
        <f>#REF!</f>
        <v>#REF!</v>
      </c>
      <c r="R77" s="1"/>
      <c r="S77" s="1"/>
      <c r="T77" s="1"/>
    </row>
    <row r="78" spans="2:20" ht="28" customHeight="1">
      <c r="B78" s="77"/>
      <c r="C78" s="78" t="s">
        <v>582</v>
      </c>
      <c r="D78" s="77"/>
      <c r="E78" s="77"/>
      <c r="F78" s="77"/>
      <c r="G78" s="77"/>
      <c r="H78" s="79" t="s">
        <v>577</v>
      </c>
      <c r="I78" s="80"/>
      <c r="J78" s="81"/>
      <c r="K78" s="81"/>
      <c r="L78" s="81"/>
      <c r="M78" s="77"/>
      <c r="N78" s="77"/>
      <c r="O78" s="77"/>
      <c r="P78" s="77"/>
      <c r="R78" s="1"/>
      <c r="S78" s="1"/>
      <c r="T78" s="1"/>
    </row>
    <row r="79" spans="2:20" ht="32" customHeight="1">
      <c r="B79" s="51">
        <v>64</v>
      </c>
      <c r="C79" s="52" t="e">
        <f>#REF!</f>
        <v>#REF!</v>
      </c>
      <c r="D79" s="53" t="e">
        <f>#REF!</f>
        <v>#REF!</v>
      </c>
      <c r="E79" s="54" t="e">
        <f>#REF!</f>
        <v>#REF!</v>
      </c>
      <c r="F79" s="55" t="e">
        <f>#REF!</f>
        <v>#REF!</v>
      </c>
      <c r="G79" s="55" t="e">
        <f>#REF!</f>
        <v>#REF!</v>
      </c>
      <c r="H79" s="56" t="e">
        <f>#REF!</f>
        <v>#REF!</v>
      </c>
      <c r="I79" s="82" t="e">
        <f>#REF!</f>
        <v>#REF!</v>
      </c>
      <c r="J79" s="57" t="e">
        <f>#REF!</f>
        <v>#REF!</v>
      </c>
      <c r="K79" s="57" t="e">
        <f>#REF!</f>
        <v>#REF!</v>
      </c>
      <c r="L79" s="57" t="e">
        <f>#REF!</f>
        <v>#REF!</v>
      </c>
      <c r="M79" s="58" t="e">
        <f>#REF!</f>
        <v>#REF!</v>
      </c>
      <c r="N79" s="58" t="e">
        <f>#REF!</f>
        <v>#REF!</v>
      </c>
      <c r="O79" s="58" t="e">
        <f>#REF!</f>
        <v>#REF!</v>
      </c>
      <c r="P79" s="53" t="e">
        <f>#REF!</f>
        <v>#REF!</v>
      </c>
      <c r="R79" s="1"/>
      <c r="S79" s="1"/>
      <c r="T79" s="1"/>
    </row>
    <row r="80" spans="2:20" ht="32" customHeight="1">
      <c r="B80" s="42">
        <v>65</v>
      </c>
      <c r="C80" s="43" t="e">
        <f>#REF!</f>
        <v>#REF!</v>
      </c>
      <c r="D80" s="44" t="e">
        <f>#REF!</f>
        <v>#REF!</v>
      </c>
      <c r="E80" s="45" t="e">
        <f>#REF!</f>
        <v>#REF!</v>
      </c>
      <c r="F80" s="46" t="e">
        <f>#REF!</f>
        <v>#REF!</v>
      </c>
      <c r="G80" s="46" t="e">
        <f>#REF!</f>
        <v>#REF!</v>
      </c>
      <c r="H80" s="47" t="e">
        <f>#REF!</f>
        <v>#REF!</v>
      </c>
      <c r="I80" s="82" t="e">
        <f>#REF!</f>
        <v>#REF!</v>
      </c>
      <c r="J80" s="49" t="e">
        <f>#REF!</f>
        <v>#REF!</v>
      </c>
      <c r="K80" s="49" t="e">
        <f>#REF!</f>
        <v>#REF!</v>
      </c>
      <c r="L80" s="49" t="e">
        <f>#REF!</f>
        <v>#REF!</v>
      </c>
      <c r="M80" s="50" t="e">
        <f>#REF!</f>
        <v>#REF!</v>
      </c>
      <c r="N80" s="50" t="e">
        <f>#REF!</f>
        <v>#REF!</v>
      </c>
      <c r="O80" s="50" t="e">
        <f>#REF!</f>
        <v>#REF!</v>
      </c>
      <c r="P80" s="44" t="e">
        <f>#REF!</f>
        <v>#REF!</v>
      </c>
      <c r="R80" s="1"/>
      <c r="S80" s="1"/>
      <c r="T80" s="1"/>
    </row>
    <row r="81" spans="2:20" ht="32" customHeight="1">
      <c r="B81" s="51">
        <v>66</v>
      </c>
      <c r="C81" s="52" t="e">
        <f>#REF!</f>
        <v>#REF!</v>
      </c>
      <c r="D81" s="53" t="e">
        <f>#REF!</f>
        <v>#REF!</v>
      </c>
      <c r="E81" s="54" t="e">
        <f>#REF!</f>
        <v>#REF!</v>
      </c>
      <c r="F81" s="55" t="e">
        <f>#REF!</f>
        <v>#REF!</v>
      </c>
      <c r="G81" s="55" t="e">
        <f>#REF!</f>
        <v>#REF!</v>
      </c>
      <c r="H81" s="56" t="e">
        <f>#REF!</f>
        <v>#REF!</v>
      </c>
      <c r="I81" s="82" t="e">
        <f>#REF!</f>
        <v>#REF!</v>
      </c>
      <c r="J81" s="57" t="e">
        <f>#REF!</f>
        <v>#REF!</v>
      </c>
      <c r="K81" s="57" t="e">
        <f>#REF!</f>
        <v>#REF!</v>
      </c>
      <c r="L81" s="57" t="e">
        <f>#REF!</f>
        <v>#REF!</v>
      </c>
      <c r="M81" s="58" t="e">
        <f>#REF!</f>
        <v>#REF!</v>
      </c>
      <c r="N81" s="58" t="e">
        <f>#REF!</f>
        <v>#REF!</v>
      </c>
      <c r="O81" s="58" t="e">
        <f>#REF!</f>
        <v>#REF!</v>
      </c>
      <c r="P81" s="53" t="e">
        <f>#REF!</f>
        <v>#REF!</v>
      </c>
      <c r="R81" s="1"/>
      <c r="S81" s="1"/>
      <c r="T81" s="1"/>
    </row>
    <row r="82" spans="2:20" ht="32" customHeight="1">
      <c r="B82" s="42">
        <v>67</v>
      </c>
      <c r="C82" s="43" t="e">
        <f>#REF!</f>
        <v>#REF!</v>
      </c>
      <c r="D82" s="44" t="e">
        <f>#REF!</f>
        <v>#REF!</v>
      </c>
      <c r="E82" s="45" t="e">
        <f>#REF!</f>
        <v>#REF!</v>
      </c>
      <c r="F82" s="46" t="e">
        <f>#REF!</f>
        <v>#REF!</v>
      </c>
      <c r="G82" s="46" t="e">
        <f>#REF!</f>
        <v>#REF!</v>
      </c>
      <c r="H82" s="47" t="e">
        <f>#REF!</f>
        <v>#REF!</v>
      </c>
      <c r="I82" s="82" t="e">
        <f>#REF!</f>
        <v>#REF!</v>
      </c>
      <c r="J82" s="49" t="e">
        <f>#REF!</f>
        <v>#REF!</v>
      </c>
      <c r="K82" s="49" t="e">
        <f>#REF!</f>
        <v>#REF!</v>
      </c>
      <c r="L82" s="49" t="e">
        <f>#REF!</f>
        <v>#REF!</v>
      </c>
      <c r="M82" s="50" t="e">
        <f>#REF!</f>
        <v>#REF!</v>
      </c>
      <c r="N82" s="50" t="e">
        <f>#REF!</f>
        <v>#REF!</v>
      </c>
      <c r="O82" s="50" t="e">
        <f>#REF!</f>
        <v>#REF!</v>
      </c>
      <c r="P82" s="44" t="e">
        <f>#REF!</f>
        <v>#REF!</v>
      </c>
      <c r="R82" s="1"/>
      <c r="S82" s="1"/>
      <c r="T82" s="1"/>
    </row>
    <row r="83" spans="2:20" ht="32" customHeight="1">
      <c r="B83" s="51">
        <v>68</v>
      </c>
      <c r="C83" s="52" t="e">
        <f>#REF!</f>
        <v>#REF!</v>
      </c>
      <c r="D83" s="53" t="e">
        <f>#REF!</f>
        <v>#REF!</v>
      </c>
      <c r="E83" s="54" t="e">
        <f>#REF!</f>
        <v>#REF!</v>
      </c>
      <c r="F83" s="55" t="e">
        <f>#REF!</f>
        <v>#REF!</v>
      </c>
      <c r="G83" s="55" t="e">
        <f>#REF!</f>
        <v>#REF!</v>
      </c>
      <c r="H83" s="56" t="e">
        <f>#REF!</f>
        <v>#REF!</v>
      </c>
      <c r="I83" s="82" t="e">
        <f>#REF!</f>
        <v>#REF!</v>
      </c>
      <c r="J83" s="57" t="e">
        <f>#REF!</f>
        <v>#REF!</v>
      </c>
      <c r="K83" s="57" t="e">
        <f>#REF!</f>
        <v>#REF!</v>
      </c>
      <c r="L83" s="57" t="e">
        <f>#REF!</f>
        <v>#REF!</v>
      </c>
      <c r="M83" s="58" t="e">
        <f>#REF!</f>
        <v>#REF!</v>
      </c>
      <c r="N83" s="58" t="e">
        <f>#REF!</f>
        <v>#REF!</v>
      </c>
      <c r="O83" s="58" t="e">
        <f>#REF!</f>
        <v>#REF!</v>
      </c>
      <c r="P83" s="53" t="e">
        <f>#REF!</f>
        <v>#REF!</v>
      </c>
      <c r="R83" s="1"/>
      <c r="S83" s="1"/>
      <c r="T83" s="1"/>
    </row>
    <row r="84" spans="2:20" ht="32" customHeight="1">
      <c r="B84" s="42">
        <v>69</v>
      </c>
      <c r="C84" s="43" t="e">
        <f>#REF!</f>
        <v>#REF!</v>
      </c>
      <c r="D84" s="44" t="e">
        <f>#REF!</f>
        <v>#REF!</v>
      </c>
      <c r="E84" s="45" t="e">
        <f>#REF!</f>
        <v>#REF!</v>
      </c>
      <c r="F84" s="46" t="e">
        <f>#REF!</f>
        <v>#REF!</v>
      </c>
      <c r="G84" s="46" t="e">
        <f>#REF!</f>
        <v>#REF!</v>
      </c>
      <c r="H84" s="47" t="e">
        <f>#REF!</f>
        <v>#REF!</v>
      </c>
      <c r="I84" s="82" t="e">
        <f>#REF!</f>
        <v>#REF!</v>
      </c>
      <c r="J84" s="49" t="e">
        <f>#REF!</f>
        <v>#REF!</v>
      </c>
      <c r="K84" s="49" t="e">
        <f>#REF!</f>
        <v>#REF!</v>
      </c>
      <c r="L84" s="49" t="e">
        <f>#REF!</f>
        <v>#REF!</v>
      </c>
      <c r="M84" s="50" t="e">
        <f>#REF!</f>
        <v>#REF!</v>
      </c>
      <c r="N84" s="50" t="e">
        <f>#REF!</f>
        <v>#REF!</v>
      </c>
      <c r="O84" s="50" t="e">
        <f>#REF!</f>
        <v>#REF!</v>
      </c>
      <c r="P84" s="44" t="e">
        <f>#REF!</f>
        <v>#REF!</v>
      </c>
      <c r="R84" s="1"/>
      <c r="S84" s="1"/>
      <c r="T84" s="1"/>
    </row>
    <row r="85" spans="2:20" ht="28" customHeight="1">
      <c r="B85" s="83"/>
      <c r="C85" s="84" t="s">
        <v>583</v>
      </c>
      <c r="D85" s="83"/>
      <c r="E85" s="83"/>
      <c r="F85" s="83"/>
      <c r="G85" s="83"/>
      <c r="H85" s="85" t="s">
        <v>584</v>
      </c>
      <c r="I85" s="86"/>
      <c r="J85" s="87"/>
      <c r="K85" s="87"/>
      <c r="L85" s="87"/>
      <c r="M85" s="83"/>
      <c r="N85" s="83"/>
      <c r="O85" s="83"/>
      <c r="P85" s="83"/>
      <c r="R85" s="1"/>
      <c r="S85" s="1"/>
      <c r="T85" s="1"/>
    </row>
    <row r="86" spans="2:20" ht="32" customHeight="1">
      <c r="B86" s="51">
        <v>70</v>
      </c>
      <c r="C86" s="52" t="e">
        <f>#REF!</f>
        <v>#REF!</v>
      </c>
      <c r="D86" s="53" t="e">
        <f>#REF!</f>
        <v>#REF!</v>
      </c>
      <c r="E86" s="54" t="e">
        <f>#REF!</f>
        <v>#REF!</v>
      </c>
      <c r="F86" s="55" t="e">
        <f>#REF!</f>
        <v>#REF!</v>
      </c>
      <c r="G86" s="55" t="e">
        <f>#REF!</f>
        <v>#REF!</v>
      </c>
      <c r="H86" s="56" t="e">
        <f>#REF!</f>
        <v>#REF!</v>
      </c>
      <c r="I86" s="88" t="e">
        <f>#REF!</f>
        <v>#REF!</v>
      </c>
      <c r="J86" s="57" t="e">
        <f>#REF!</f>
        <v>#REF!</v>
      </c>
      <c r="K86" s="57" t="e">
        <f>#REF!</f>
        <v>#REF!</v>
      </c>
      <c r="L86" s="57" t="e">
        <f>#REF!</f>
        <v>#REF!</v>
      </c>
      <c r="M86" s="58" t="e">
        <f>#REF!</f>
        <v>#REF!</v>
      </c>
      <c r="N86" s="58" t="e">
        <f>#REF!</f>
        <v>#REF!</v>
      </c>
      <c r="O86" s="58" t="e">
        <f>#REF!</f>
        <v>#REF!</v>
      </c>
      <c r="P86" s="53" t="e">
        <f>#REF!</f>
        <v>#REF!</v>
      </c>
      <c r="R86" s="1"/>
      <c r="S86" s="1"/>
      <c r="T86" s="1"/>
    </row>
    <row r="87" spans="2:20" ht="8" customHeight="1">
      <c r="B87" s="89"/>
      <c r="C87" s="89"/>
      <c r="D87" s="89"/>
      <c r="E87" s="89"/>
      <c r="F87" s="89"/>
      <c r="G87" s="89"/>
      <c r="H87" s="89"/>
      <c r="I87" s="90"/>
      <c r="J87" s="91"/>
      <c r="K87" s="91"/>
      <c r="L87" s="91"/>
      <c r="M87" s="89"/>
      <c r="N87" s="89"/>
      <c r="O87" s="89"/>
      <c r="P87" s="89"/>
      <c r="R87" s="1"/>
      <c r="S87" s="1"/>
      <c r="T87" s="1"/>
    </row>
    <row r="88" spans="2:20" ht="32" customHeight="1">
      <c r="B88" s="92" t="s">
        <v>585</v>
      </c>
      <c r="C88" s="93"/>
      <c r="D88" s="93"/>
      <c r="E88" s="93"/>
      <c r="F88" s="94" t="e">
        <f t="array" ref="F88">SUMPRODUCT((#REF!)*(#REF!&lt;&gt;""))</f>
        <v>#REF!</v>
      </c>
      <c r="G88" s="93"/>
      <c r="H88" s="95" t="e">
        <f>#REF!</f>
        <v>#REF!</v>
      </c>
      <c r="I88" s="96"/>
      <c r="J88" s="97"/>
      <c r="K88" s="97"/>
      <c r="L88" s="97"/>
      <c r="M88" s="93"/>
      <c r="N88" s="93"/>
      <c r="O88" s="93"/>
      <c r="P88" s="93"/>
      <c r="R88" s="1"/>
      <c r="S88" s="1"/>
      <c r="T88" s="1"/>
    </row>
    <row r="89" spans="2:20">
      <c r="B89" s="1"/>
      <c r="C89" s="1"/>
      <c r="D89" s="1"/>
      <c r="E89" s="1"/>
      <c r="F89" s="1"/>
      <c r="G89" s="1"/>
      <c r="H89" s="1"/>
      <c r="I89" s="5"/>
      <c r="J89" s="6"/>
      <c r="K89" s="6"/>
      <c r="L89" s="6"/>
      <c r="M89" s="1"/>
      <c r="N89" s="1"/>
      <c r="O89" s="1"/>
      <c r="P89" s="1"/>
      <c r="R89" s="1"/>
      <c r="S89" s="1"/>
      <c r="T89" s="1"/>
    </row>
    <row r="90" spans="2:20">
      <c r="B90" s="1"/>
      <c r="C90" s="1"/>
      <c r="D90" s="1"/>
      <c r="E90" s="1"/>
      <c r="F90" s="1"/>
      <c r="G90" s="1"/>
      <c r="H90" s="1"/>
      <c r="I90" s="5"/>
      <c r="J90" s="6"/>
      <c r="K90" s="6"/>
      <c r="L90" s="6"/>
      <c r="M90" s="1"/>
      <c r="N90" s="1"/>
      <c r="O90" s="1"/>
      <c r="P90" s="1"/>
      <c r="R90" s="1"/>
      <c r="S90" s="1"/>
      <c r="T90" s="1"/>
    </row>
    <row r="91" spans="2:20">
      <c r="B91" s="1"/>
      <c r="C91" s="1"/>
      <c r="D91" s="1"/>
      <c r="E91" s="1"/>
      <c r="F91" s="1"/>
      <c r="G91" s="1"/>
      <c r="H91" s="1"/>
      <c r="I91" s="5"/>
      <c r="J91" s="6"/>
      <c r="K91" s="6"/>
      <c r="L91" s="6"/>
      <c r="M91" s="1"/>
      <c r="N91" s="1"/>
      <c r="O91" s="1"/>
      <c r="P91" s="1"/>
      <c r="R91" s="1"/>
      <c r="S91" s="1"/>
      <c r="T91" s="1"/>
    </row>
    <row r="92" spans="2:20">
      <c r="B92" s="1"/>
      <c r="C92" s="1"/>
      <c r="D92" s="1"/>
      <c r="E92" s="1"/>
      <c r="F92" s="1"/>
      <c r="G92" s="1"/>
      <c r="H92" s="1"/>
      <c r="I92" s="5"/>
      <c r="J92" s="6"/>
      <c r="K92" s="6"/>
      <c r="L92" s="6"/>
      <c r="M92" s="1"/>
      <c r="N92" s="1"/>
      <c r="O92" s="1"/>
      <c r="P92" s="1"/>
      <c r="R92" s="1"/>
      <c r="S92" s="1"/>
      <c r="T92" s="1"/>
    </row>
    <row r="93" spans="2:20">
      <c r="B93" s="1"/>
      <c r="C93" s="1"/>
      <c r="D93" s="1"/>
      <c r="E93" s="1"/>
      <c r="F93" s="1"/>
      <c r="G93" s="1"/>
      <c r="H93" s="1"/>
      <c r="I93" s="5"/>
      <c r="J93" s="6"/>
      <c r="K93" s="6"/>
      <c r="L93" s="6"/>
      <c r="M93" s="1"/>
      <c r="N93" s="1"/>
      <c r="O93" s="1"/>
      <c r="P93" s="1"/>
      <c r="R93" s="1"/>
      <c r="S93" s="1"/>
      <c r="T93" s="1"/>
    </row>
    <row r="94" spans="2:20">
      <c r="B94" s="1"/>
      <c r="C94" s="1"/>
      <c r="D94" s="1"/>
      <c r="E94" s="1"/>
      <c r="F94" s="1"/>
      <c r="G94" s="1"/>
      <c r="H94" s="1"/>
      <c r="I94" s="5"/>
      <c r="J94" s="6"/>
      <c r="K94" s="6"/>
      <c r="L94" s="6"/>
      <c r="M94" s="1"/>
      <c r="N94" s="1"/>
      <c r="O94" s="1"/>
      <c r="P94" s="1"/>
      <c r="R94" s="1"/>
      <c r="S94" s="1"/>
      <c r="T94" s="1"/>
    </row>
    <row r="95" spans="2:20">
      <c r="B95" s="1"/>
      <c r="C95" s="1"/>
      <c r="D95" s="1"/>
      <c r="E95" s="1"/>
      <c r="F95" s="1"/>
      <c r="G95" s="1"/>
      <c r="H95" s="1"/>
      <c r="I95" s="5"/>
      <c r="J95" s="6"/>
      <c r="K95" s="6"/>
      <c r="L95" s="6"/>
      <c r="M95" s="1"/>
      <c r="N95" s="1"/>
      <c r="O95" s="1"/>
      <c r="P95" s="1"/>
      <c r="R95" s="1"/>
      <c r="S95" s="1"/>
      <c r="T95" s="1"/>
    </row>
    <row r="96" spans="2:20">
      <c r="B96" s="1"/>
      <c r="C96" s="1"/>
      <c r="D96" s="1"/>
      <c r="E96" s="1"/>
      <c r="F96" s="1"/>
      <c r="G96" s="1"/>
      <c r="H96" s="1"/>
      <c r="I96" s="5"/>
      <c r="J96" s="6"/>
      <c r="K96" s="6"/>
      <c r="L96" s="6"/>
      <c r="M96" s="1"/>
      <c r="N96" s="1"/>
      <c r="O96" s="1"/>
      <c r="P96" s="1"/>
      <c r="R96" s="1"/>
      <c r="S96" s="1"/>
      <c r="T96" s="1"/>
    </row>
    <row r="97" spans="2:20">
      <c r="B97" s="1"/>
      <c r="C97" s="1"/>
      <c r="D97" s="1"/>
      <c r="E97" s="1"/>
      <c r="F97" s="1"/>
      <c r="G97" s="1"/>
      <c r="H97" s="1"/>
      <c r="I97" s="5"/>
      <c r="J97" s="6"/>
      <c r="K97" s="6"/>
      <c r="L97" s="6"/>
      <c r="M97" s="1"/>
      <c r="N97" s="1"/>
      <c r="O97" s="1"/>
      <c r="P97" s="1"/>
      <c r="R97" s="1"/>
      <c r="S97" s="1"/>
      <c r="T97" s="1"/>
    </row>
    <row r="98" spans="2:20">
      <c r="B98" s="1"/>
      <c r="C98" s="1"/>
      <c r="D98" s="1"/>
      <c r="E98" s="1"/>
      <c r="F98" s="1"/>
      <c r="G98" s="1"/>
      <c r="H98" s="1"/>
      <c r="I98" s="5"/>
      <c r="J98" s="6"/>
      <c r="K98" s="6"/>
      <c r="L98" s="6"/>
      <c r="M98" s="1"/>
      <c r="N98" s="1"/>
      <c r="O98" s="1"/>
      <c r="P98" s="1"/>
      <c r="R98" s="1"/>
      <c r="S98" s="1"/>
      <c r="T98" s="1"/>
    </row>
    <row r="99" spans="2:20">
      <c r="B99" s="1"/>
      <c r="C99" s="1"/>
      <c r="D99" s="1"/>
      <c r="E99" s="1"/>
      <c r="F99" s="1"/>
      <c r="G99" s="1"/>
      <c r="H99" s="1"/>
      <c r="I99" s="5"/>
      <c r="J99" s="6"/>
      <c r="K99" s="6"/>
      <c r="L99" s="6"/>
      <c r="M99" s="1"/>
      <c r="N99" s="1"/>
      <c r="O99" s="1"/>
      <c r="P99" s="1"/>
      <c r="R99" s="1"/>
      <c r="S99" s="1"/>
      <c r="T99" s="1"/>
    </row>
    <row r="100" spans="2:20">
      <c r="B100" s="1"/>
      <c r="C100" s="1"/>
      <c r="D100" s="1"/>
      <c r="E100" s="1"/>
      <c r="F100" s="1"/>
      <c r="G100" s="1"/>
      <c r="H100" s="1"/>
      <c r="I100" s="5"/>
      <c r="J100" s="6"/>
      <c r="K100" s="6"/>
      <c r="L100" s="6"/>
      <c r="M100" s="1"/>
      <c r="N100" s="1"/>
      <c r="O100" s="1"/>
      <c r="P100" s="1"/>
      <c r="R100" s="1"/>
      <c r="S100" s="1"/>
      <c r="T100" s="1"/>
    </row>
    <row r="101" spans="2:20">
      <c r="B101" s="1"/>
      <c r="C101" s="1"/>
      <c r="D101" s="1"/>
      <c r="E101" s="1"/>
      <c r="F101" s="1"/>
      <c r="G101" s="1"/>
      <c r="H101" s="1"/>
      <c r="I101" s="5"/>
      <c r="J101" s="6"/>
      <c r="K101" s="6"/>
      <c r="L101" s="6"/>
      <c r="M101" s="1"/>
      <c r="N101" s="1"/>
      <c r="O101" s="1"/>
      <c r="P101" s="1"/>
      <c r="R101" s="1"/>
      <c r="S101" s="1"/>
      <c r="T101" s="1"/>
    </row>
    <row r="102" spans="2:20">
      <c r="B102" s="1"/>
      <c r="C102" s="1"/>
      <c r="D102" s="1"/>
      <c r="E102" s="1"/>
      <c r="F102" s="1"/>
      <c r="G102" s="1"/>
      <c r="H102" s="1"/>
      <c r="I102" s="5"/>
      <c r="J102" s="6"/>
      <c r="K102" s="6"/>
      <c r="L102" s="6"/>
      <c r="M102" s="1"/>
      <c r="N102" s="1"/>
      <c r="O102" s="1"/>
      <c r="P102" s="1"/>
      <c r="R102" s="1"/>
      <c r="S102" s="1"/>
      <c r="T102" s="1"/>
    </row>
    <row r="103" spans="2:20">
      <c r="B103" s="1"/>
      <c r="C103" s="1"/>
      <c r="D103" s="1"/>
      <c r="E103" s="1"/>
      <c r="F103" s="1"/>
      <c r="G103" s="1"/>
      <c r="H103" s="1"/>
      <c r="I103" s="5"/>
      <c r="J103" s="6"/>
      <c r="K103" s="6"/>
      <c r="L103" s="6"/>
      <c r="M103" s="1"/>
      <c r="N103" s="1"/>
      <c r="O103" s="1"/>
      <c r="P103" s="1"/>
      <c r="R103" s="1"/>
      <c r="S103" s="1"/>
      <c r="T103" s="1"/>
    </row>
    <row r="104" spans="2:20">
      <c r="B104" s="1"/>
      <c r="C104" s="1"/>
      <c r="D104" s="1"/>
      <c r="E104" s="1"/>
      <c r="F104" s="1"/>
      <c r="G104" s="1"/>
      <c r="H104" s="1"/>
      <c r="I104" s="5"/>
      <c r="J104" s="6"/>
      <c r="K104" s="6"/>
      <c r="L104" s="6"/>
      <c r="M104" s="1"/>
      <c r="N104" s="1"/>
      <c r="O104" s="1"/>
      <c r="P104" s="1"/>
      <c r="R104" s="1"/>
      <c r="S104" s="1"/>
      <c r="T104" s="1"/>
    </row>
    <row r="105" spans="2:20">
      <c r="B105" s="1"/>
      <c r="C105" s="1"/>
      <c r="D105" s="1"/>
      <c r="E105" s="1"/>
      <c r="F105" s="1"/>
      <c r="G105" s="1"/>
      <c r="H105" s="1"/>
      <c r="I105" s="5"/>
      <c r="J105" s="6"/>
      <c r="K105" s="6"/>
      <c r="L105" s="6"/>
      <c r="M105" s="1"/>
      <c r="N105" s="1"/>
      <c r="O105" s="1"/>
      <c r="P105" s="1"/>
      <c r="R105" s="1"/>
      <c r="S105" s="1"/>
      <c r="T105" s="1"/>
    </row>
    <row r="106" spans="2:20">
      <c r="B106" s="1"/>
      <c r="C106" s="1"/>
      <c r="D106" s="1"/>
      <c r="E106" s="1"/>
      <c r="F106" s="1"/>
      <c r="G106" s="1"/>
      <c r="H106" s="1"/>
      <c r="I106" s="5"/>
      <c r="J106" s="6"/>
      <c r="K106" s="6"/>
      <c r="L106" s="6"/>
      <c r="M106" s="1"/>
      <c r="N106" s="1"/>
      <c r="O106" s="1"/>
      <c r="P106" s="1"/>
      <c r="R106" s="1"/>
      <c r="S106" s="1"/>
      <c r="T106" s="1"/>
    </row>
    <row r="107" spans="2:20">
      <c r="B107" s="1"/>
      <c r="C107" s="1"/>
      <c r="D107" s="1"/>
      <c r="E107" s="1"/>
      <c r="F107" s="1"/>
      <c r="G107" s="1"/>
      <c r="H107" s="1"/>
      <c r="I107" s="5"/>
      <c r="J107" s="6"/>
      <c r="K107" s="6"/>
      <c r="L107" s="6"/>
      <c r="M107" s="1"/>
      <c r="N107" s="1"/>
      <c r="O107" s="1"/>
      <c r="P107" s="1"/>
      <c r="R107" s="1"/>
      <c r="S107" s="1"/>
      <c r="T107" s="1"/>
    </row>
    <row r="108" spans="2:20">
      <c r="B108" s="1"/>
      <c r="C108" s="1"/>
      <c r="D108" s="1"/>
      <c r="E108" s="1"/>
      <c r="F108" s="1"/>
      <c r="G108" s="1"/>
      <c r="H108" s="1"/>
      <c r="I108" s="5"/>
      <c r="J108" s="6"/>
      <c r="K108" s="6"/>
      <c r="L108" s="6"/>
      <c r="M108" s="1"/>
      <c r="N108" s="1"/>
      <c r="O108" s="1"/>
      <c r="P108" s="1"/>
      <c r="R108" s="1"/>
      <c r="S108" s="1"/>
      <c r="T108" s="1"/>
    </row>
    <row r="109" spans="2:20">
      <c r="B109" s="1"/>
      <c r="C109" s="1"/>
      <c r="D109" s="1"/>
      <c r="E109" s="1"/>
      <c r="F109" s="1"/>
      <c r="G109" s="1"/>
      <c r="H109" s="1"/>
      <c r="I109" s="5"/>
      <c r="J109" s="6"/>
      <c r="K109" s="6"/>
      <c r="L109" s="6"/>
      <c r="M109" s="1"/>
      <c r="N109" s="1"/>
      <c r="O109" s="1"/>
      <c r="P109" s="1"/>
      <c r="R109" s="1"/>
      <c r="S109" s="1"/>
      <c r="T109" s="1"/>
    </row>
    <row r="110" spans="2:20">
      <c r="B110" s="1"/>
      <c r="C110" s="1"/>
      <c r="D110" s="1"/>
      <c r="E110" s="1"/>
      <c r="F110" s="1"/>
      <c r="G110" s="1"/>
      <c r="H110" s="1"/>
      <c r="I110" s="5"/>
      <c r="J110" s="6"/>
      <c r="K110" s="6"/>
      <c r="L110" s="6"/>
      <c r="M110" s="1"/>
      <c r="N110" s="1"/>
      <c r="O110" s="1"/>
      <c r="P110" s="1"/>
      <c r="R110" s="1"/>
      <c r="S110" s="1"/>
      <c r="T110" s="1"/>
    </row>
    <row r="111" spans="2:20">
      <c r="B111" s="1"/>
      <c r="C111" s="1"/>
      <c r="D111" s="1"/>
      <c r="E111" s="1"/>
      <c r="F111" s="1"/>
      <c r="G111" s="1"/>
      <c r="H111" s="1"/>
      <c r="I111" s="5"/>
      <c r="J111" s="6"/>
      <c r="K111" s="6"/>
      <c r="L111" s="6"/>
      <c r="M111" s="1"/>
      <c r="N111" s="1"/>
      <c r="O111" s="1"/>
      <c r="P111" s="1"/>
      <c r="R111" s="1"/>
      <c r="S111" s="1"/>
      <c r="T111" s="1"/>
    </row>
    <row r="112" spans="2:20">
      <c r="B112" s="1"/>
      <c r="C112" s="1"/>
      <c r="D112" s="1"/>
      <c r="E112" s="1"/>
      <c r="F112" s="1"/>
      <c r="G112" s="1"/>
      <c r="H112" s="1"/>
      <c r="I112" s="5"/>
      <c r="J112" s="6"/>
      <c r="K112" s="6"/>
      <c r="L112" s="6"/>
      <c r="M112" s="1"/>
      <c r="N112" s="1"/>
      <c r="O112" s="1"/>
      <c r="P112" s="1"/>
      <c r="R112" s="1"/>
      <c r="S112" s="1"/>
      <c r="T112" s="1"/>
    </row>
    <row r="113" spans="2:20">
      <c r="B113" s="1"/>
      <c r="C113" s="1"/>
      <c r="D113" s="1"/>
      <c r="E113" s="1"/>
      <c r="F113" s="1"/>
      <c r="G113" s="1"/>
      <c r="H113" s="1"/>
      <c r="I113" s="5"/>
      <c r="J113" s="6"/>
      <c r="K113" s="6"/>
      <c r="L113" s="6"/>
      <c r="M113" s="1"/>
      <c r="N113" s="1"/>
      <c r="O113" s="1"/>
      <c r="P113" s="1"/>
      <c r="R113" s="1"/>
      <c r="S113" s="1"/>
      <c r="T113" s="1"/>
    </row>
    <row r="114" spans="2:20">
      <c r="B114" s="1"/>
      <c r="C114" s="1"/>
      <c r="D114" s="1"/>
      <c r="E114" s="1"/>
      <c r="F114" s="1"/>
      <c r="G114" s="1"/>
      <c r="H114" s="1"/>
      <c r="I114" s="5"/>
      <c r="J114" s="6"/>
      <c r="K114" s="6"/>
      <c r="L114" s="6"/>
      <c r="M114" s="1"/>
      <c r="N114" s="1"/>
      <c r="O114" s="1"/>
      <c r="P114" s="1"/>
      <c r="R114" s="1"/>
      <c r="S114" s="1"/>
      <c r="T114" s="1"/>
    </row>
    <row r="115" spans="2:20">
      <c r="B115" s="1"/>
      <c r="C115" s="1"/>
      <c r="D115" s="1"/>
      <c r="E115" s="1"/>
      <c r="F115" s="1"/>
      <c r="G115" s="1"/>
      <c r="H115" s="1"/>
      <c r="I115" s="5"/>
      <c r="J115" s="6"/>
      <c r="K115" s="6"/>
      <c r="L115" s="6"/>
      <c r="M115" s="1"/>
      <c r="N115" s="1"/>
      <c r="O115" s="1"/>
      <c r="P115" s="1"/>
      <c r="R115" s="1"/>
      <c r="S115" s="1"/>
      <c r="T115" s="1"/>
    </row>
    <row r="116" spans="2:20">
      <c r="B116" s="1"/>
      <c r="C116" s="1"/>
      <c r="D116" s="1"/>
      <c r="E116" s="1"/>
      <c r="F116" s="1"/>
      <c r="G116" s="1"/>
      <c r="H116" s="1"/>
      <c r="I116" s="5"/>
      <c r="J116" s="6"/>
      <c r="K116" s="6"/>
      <c r="L116" s="6"/>
      <c r="M116" s="1"/>
      <c r="N116" s="1"/>
      <c r="O116" s="1"/>
      <c r="P116" s="1"/>
      <c r="R116" s="1"/>
      <c r="S116" s="1"/>
      <c r="T116" s="1"/>
    </row>
    <row r="117" spans="2:20">
      <c r="B117" s="1"/>
      <c r="C117" s="1"/>
      <c r="D117" s="1"/>
      <c r="E117" s="1"/>
      <c r="F117" s="1"/>
      <c r="G117" s="1"/>
      <c r="H117" s="1"/>
      <c r="I117" s="5"/>
      <c r="J117" s="6"/>
      <c r="K117" s="6"/>
      <c r="L117" s="6"/>
      <c r="M117" s="1"/>
      <c r="N117" s="1"/>
      <c r="O117" s="1"/>
      <c r="P117" s="1"/>
      <c r="R117" s="1"/>
      <c r="S117" s="1"/>
      <c r="T117" s="1"/>
    </row>
    <row r="118" spans="2:20">
      <c r="B118" s="1"/>
      <c r="C118" s="1"/>
      <c r="D118" s="1"/>
      <c r="E118" s="1"/>
      <c r="F118" s="1"/>
      <c r="G118" s="1"/>
      <c r="H118" s="1"/>
      <c r="I118" s="5"/>
      <c r="J118" s="6"/>
      <c r="K118" s="6"/>
      <c r="L118" s="6"/>
      <c r="M118" s="1"/>
      <c r="N118" s="1"/>
      <c r="O118" s="1"/>
      <c r="P118" s="1"/>
      <c r="R118" s="1"/>
      <c r="S118" s="1"/>
      <c r="T118" s="1"/>
    </row>
    <row r="119" spans="2:20">
      <c r="B119" s="1"/>
      <c r="C119" s="1"/>
      <c r="D119" s="1"/>
      <c r="E119" s="1"/>
      <c r="F119" s="1"/>
      <c r="G119" s="1"/>
      <c r="H119" s="1"/>
      <c r="I119" s="5"/>
      <c r="J119" s="6"/>
      <c r="K119" s="6"/>
      <c r="L119" s="6"/>
      <c r="M119" s="1"/>
      <c r="N119" s="1"/>
      <c r="O119" s="1"/>
      <c r="P119" s="1"/>
      <c r="R119" s="1"/>
      <c r="S119" s="1"/>
      <c r="T119" s="1"/>
    </row>
    <row r="120" spans="2:20">
      <c r="B120" s="1"/>
      <c r="C120" s="1"/>
      <c r="D120" s="1"/>
      <c r="E120" s="1"/>
      <c r="F120" s="1"/>
      <c r="G120" s="1"/>
      <c r="H120" s="1"/>
      <c r="I120" s="5"/>
      <c r="J120" s="6"/>
      <c r="K120" s="6"/>
      <c r="L120" s="6"/>
      <c r="M120" s="1"/>
      <c r="N120" s="1"/>
      <c r="O120" s="1"/>
      <c r="P120" s="1"/>
      <c r="R120" s="1"/>
      <c r="S120" s="1"/>
      <c r="T120" s="1"/>
    </row>
  </sheetData>
  <pageMargins left="0.7" right="0.7" top="0.75" bottom="0.75" header="0.3" footer="0.3"/>
  <pageSetup paperSize="9" scale="27" orientation="landscape" r:id="rId1"/>
  <rowBreaks count="1" manualBreakCount="1">
    <brk id="48" max="15" man="1"/>
  </rowBreaks>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Dashboard</vt:lpstr>
      <vt:lpstr>Payment Summary</vt:lpstr>
      <vt:lpstr>Payment Register</vt:lpstr>
      <vt:lpstr>VO LOG (2)</vt:lpstr>
      <vt:lpstr>Sheet1</vt:lpstr>
      <vt:lpstr>Sheet2</vt:lpstr>
      <vt:lpstr>VO LOG (New)</vt:lpstr>
      <vt:lpstr>Dashboard!Print_Area</vt:lpstr>
      <vt:lpstr>'Payment Register'!Print_Area</vt:lpstr>
      <vt:lpstr>'Payment Summary'!Print_Area</vt:lpstr>
      <vt:lpstr>Sheet2!Print_Area</vt:lpstr>
      <vt:lpstr>'VO LOG (2)'!Print_Area</vt:lpstr>
      <vt:lpstr>'VO LOG (New)'!Print_Area</vt:lpstr>
      <vt:lpstr>'VO LOG (2)'!Print_Titles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Aaqil</dc:creator>
  <cp:keywords/>
  <dc:description/>
  <cp:lastModifiedBy>Mohamed Roomy</cp:lastModifiedBy>
  <cp:revision/>
  <dcterms:created xsi:type="dcterms:W3CDTF">2024-05-22T07:04:00Z</dcterms:created>
  <dcterms:modified xsi:type="dcterms:W3CDTF">2026-07-29T12:57:39Z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83972486B8C84064BB0A0018E82B8FF8_12</vt:lpwstr>
  </property>
  <property fmtid="{D5CDD505-2E9C-101B-9397-08002B2CF9AE}" pid="3" name="KSOProductBuildVer">
    <vt:lpwstr>1033-12.1.0.26372</vt:lpwstr>
  </property>
  <property fmtid="{D5CDD505-2E9C-101B-9397-08002B2CF9AE}" pid="4" name="CalculationRule">
    <vt:i4>0</vt:i4>
  </property>
  <property fmtid="{D5CDD505-2E9C-101B-9397-08002B2CF9AE}" pid="5" name="KSOReadingLayout">
    <vt:bool>true</vt:bool>
  </property>
</Properties>
</file>